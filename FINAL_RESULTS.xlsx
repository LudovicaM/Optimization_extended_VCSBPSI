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ovicamarino/Desktop/Tesi magistrale/"/>
    </mc:Choice>
  </mc:AlternateContent>
  <xr:revisionPtr revIDLastSave="0" documentId="13_ncr:1_{E99BB825-CD21-7C42-91F6-BD7D81B4F396}" xr6:coauthVersionLast="47" xr6:coauthVersionMax="47" xr10:uidLastSave="{00000000-0000-0000-0000-000000000000}"/>
  <bookViews>
    <workbookView xWindow="0" yWindow="740" windowWidth="29400" windowHeight="18380" activeTab="1" xr2:uid="{6B278891-F37E-2042-B3CE-C2A8931BF119}"/>
  </bookViews>
  <sheets>
    <sheet name="Word_tables" sheetId="21" state="hidden" r:id="rId1"/>
    <sheet name="Summary" sheetId="13" r:id="rId2"/>
    <sheet name="no_type" sheetId="20" state="hidden" r:id="rId3"/>
    <sheet name="no_same_type" sheetId="19" state="hidden" r:id="rId4"/>
    <sheet name="3_scenario_a5" sheetId="22" state="hidden" r:id="rId5"/>
    <sheet name="10_scenario_a5" sheetId="23" state="hidden" r:id="rId6"/>
    <sheet name="3_scenarios" sheetId="17" state="hidden" r:id="rId7"/>
    <sheet name="10_scenarios" sheetId="18" state="hidden" r:id="rId8"/>
    <sheet name="sp1_25_a5" sheetId="1" state="hidden" r:id="rId9"/>
    <sheet name="sp1_25_a10" sheetId="2" state="hidden" r:id="rId10"/>
    <sheet name="sp1_25_a20" sheetId="3" state="hidden" r:id="rId11"/>
    <sheet name="sp1_25_a40" sheetId="4" state="hidden" r:id="rId12"/>
    <sheet name="sp2_25_a5" sheetId="5" state="hidden" r:id="rId13"/>
    <sheet name="sp2_25_a10" sheetId="6" state="hidden" r:id="rId14"/>
    <sheet name="sp2_25_a20" sheetId="7" state="hidden" r:id="rId15"/>
    <sheet name="sp2_25_a40" sheetId="8" state="hidden" r:id="rId16"/>
    <sheet name="sp3_25_a5" sheetId="9" state="hidden" r:id="rId17"/>
    <sheet name="sp3_25_a10" sheetId="10" state="hidden" r:id="rId18"/>
    <sheet name="sp3_25_a20" sheetId="11" state="hidden" r:id="rId19"/>
    <sheet name="sp3_25_a40" sheetId="12" state="hidden" r:id="rId20"/>
    <sheet name="Hss-sp1_25" sheetId="14" state="hidden" r:id="rId21"/>
    <sheet name="Hss-sp2_25" sheetId="15" state="hidden" r:id="rId22"/>
    <sheet name="Hss-sp3_25" sheetId="16" state="hidden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" i="13" l="1"/>
  <c r="AB11" i="13"/>
  <c r="AA11" i="13"/>
  <c r="Z11" i="13"/>
  <c r="Y11" i="13"/>
  <c r="X11" i="13"/>
  <c r="W11" i="13"/>
  <c r="V11" i="13"/>
  <c r="U11" i="13"/>
  <c r="T11" i="13"/>
  <c r="S11" i="13"/>
  <c r="AC9" i="13"/>
  <c r="AB9" i="13"/>
  <c r="AA9" i="13"/>
  <c r="Z9" i="13"/>
  <c r="Y9" i="13"/>
  <c r="X9" i="13"/>
  <c r="W9" i="13"/>
  <c r="V9" i="13"/>
  <c r="U9" i="13"/>
  <c r="T9" i="13"/>
  <c r="S9" i="13"/>
  <c r="O7" i="22"/>
  <c r="O7" i="23"/>
  <c r="D36" i="13"/>
  <c r="L41" i="23"/>
  <c r="K41" i="23"/>
  <c r="J41" i="23"/>
  <c r="I41" i="23"/>
  <c r="G41" i="23"/>
  <c r="F41" i="23"/>
  <c r="E41" i="23"/>
  <c r="D41" i="23"/>
  <c r="C41" i="23"/>
  <c r="B41" i="23"/>
  <c r="H39" i="23"/>
  <c r="H38" i="23"/>
  <c r="H37" i="23"/>
  <c r="H36" i="23"/>
  <c r="H35" i="23"/>
  <c r="H34" i="23"/>
  <c r="H33" i="23"/>
  <c r="H32" i="23"/>
  <c r="H31" i="23"/>
  <c r="H30" i="23"/>
  <c r="K25" i="23"/>
  <c r="J25" i="23"/>
  <c r="I25" i="23"/>
  <c r="H25" i="23"/>
  <c r="F25" i="23"/>
  <c r="E25" i="23"/>
  <c r="D25" i="23"/>
  <c r="C25" i="23"/>
  <c r="E26" i="23" s="1"/>
  <c r="B25" i="23"/>
  <c r="G23" i="23"/>
  <c r="G22" i="23"/>
  <c r="G21" i="23"/>
  <c r="G20" i="23"/>
  <c r="G19" i="23"/>
  <c r="G18" i="23"/>
  <c r="G17" i="23"/>
  <c r="G16" i="23"/>
  <c r="G15" i="23"/>
  <c r="G14" i="23"/>
  <c r="L41" i="22"/>
  <c r="K41" i="22"/>
  <c r="J41" i="22"/>
  <c r="I41" i="22"/>
  <c r="G41" i="22"/>
  <c r="F41" i="22"/>
  <c r="E41" i="22"/>
  <c r="D41" i="22"/>
  <c r="F42" i="22" s="1"/>
  <c r="C41" i="22"/>
  <c r="B41" i="22"/>
  <c r="H39" i="22"/>
  <c r="H38" i="22"/>
  <c r="H37" i="22"/>
  <c r="H36" i="22"/>
  <c r="H35" i="22"/>
  <c r="H34" i="22"/>
  <c r="H33" i="22"/>
  <c r="H32" i="22"/>
  <c r="H31" i="22"/>
  <c r="H30" i="22"/>
  <c r="K25" i="22"/>
  <c r="J25" i="22"/>
  <c r="I25" i="22"/>
  <c r="H25" i="22"/>
  <c r="F25" i="22"/>
  <c r="E25" i="22"/>
  <c r="D25" i="22"/>
  <c r="C25" i="22"/>
  <c r="B25" i="22"/>
  <c r="G23" i="22"/>
  <c r="G22" i="22"/>
  <c r="G21" i="22"/>
  <c r="G20" i="22"/>
  <c r="G19" i="22"/>
  <c r="G18" i="22"/>
  <c r="G17" i="22"/>
  <c r="G16" i="22"/>
  <c r="G15" i="22"/>
  <c r="G14" i="22"/>
  <c r="Y18" i="13"/>
  <c r="AC18" i="13"/>
  <c r="AB18" i="13"/>
  <c r="AA18" i="13"/>
  <c r="Z18" i="13"/>
  <c r="X18" i="13"/>
  <c r="W18" i="13"/>
  <c r="V18" i="13"/>
  <c r="U18" i="13"/>
  <c r="T18" i="13"/>
  <c r="S18" i="13"/>
  <c r="AC16" i="13"/>
  <c r="AB16" i="13"/>
  <c r="AA16" i="13"/>
  <c r="Z16" i="13"/>
  <c r="Y16" i="13"/>
  <c r="X16" i="13"/>
  <c r="W16" i="13"/>
  <c r="V16" i="13"/>
  <c r="U16" i="13"/>
  <c r="T16" i="13"/>
  <c r="S16" i="13"/>
  <c r="N12" i="13"/>
  <c r="M12" i="13"/>
  <c r="L12" i="13"/>
  <c r="K12" i="13"/>
  <c r="J12" i="13"/>
  <c r="I12" i="13"/>
  <c r="H12" i="13"/>
  <c r="G12" i="13"/>
  <c r="F12" i="13"/>
  <c r="E12" i="13"/>
  <c r="D12" i="13"/>
  <c r="M11" i="13"/>
  <c r="G41" i="19"/>
  <c r="L41" i="20"/>
  <c r="K41" i="20"/>
  <c r="J41" i="20"/>
  <c r="I41" i="20"/>
  <c r="G41" i="20"/>
  <c r="F41" i="20"/>
  <c r="E41" i="20"/>
  <c r="D41" i="20"/>
  <c r="C41" i="20"/>
  <c r="B41" i="20"/>
  <c r="H39" i="20"/>
  <c r="H38" i="20"/>
  <c r="H37" i="20"/>
  <c r="H36" i="20"/>
  <c r="H41" i="20" s="1"/>
  <c r="H35" i="20"/>
  <c r="H34" i="20"/>
  <c r="H33" i="20"/>
  <c r="H32" i="20"/>
  <c r="H31" i="20"/>
  <c r="H30" i="20"/>
  <c r="K25" i="20"/>
  <c r="J25" i="20"/>
  <c r="I25" i="20"/>
  <c r="H25" i="20"/>
  <c r="F25" i="20"/>
  <c r="E25" i="20"/>
  <c r="D25" i="20"/>
  <c r="C25" i="20"/>
  <c r="O7" i="20" s="1"/>
  <c r="B25" i="20"/>
  <c r="G23" i="20"/>
  <c r="G22" i="20"/>
  <c r="G21" i="20"/>
  <c r="G20" i="20"/>
  <c r="G19" i="20"/>
  <c r="G18" i="20"/>
  <c r="G17" i="20"/>
  <c r="G16" i="20"/>
  <c r="G15" i="20"/>
  <c r="G14" i="20"/>
  <c r="L41" i="19"/>
  <c r="K41" i="19"/>
  <c r="J41" i="19"/>
  <c r="I41" i="19"/>
  <c r="F41" i="19"/>
  <c r="E41" i="19"/>
  <c r="D41" i="19"/>
  <c r="F42" i="19" s="1"/>
  <c r="C41" i="19"/>
  <c r="B41" i="19"/>
  <c r="H39" i="19"/>
  <c r="H38" i="19"/>
  <c r="H37" i="19"/>
  <c r="H36" i="19"/>
  <c r="H35" i="19"/>
  <c r="H34" i="19"/>
  <c r="H33" i="19"/>
  <c r="H32" i="19"/>
  <c r="H31" i="19"/>
  <c r="H30" i="19"/>
  <c r="K25" i="19"/>
  <c r="J25" i="19"/>
  <c r="I25" i="19"/>
  <c r="H25" i="19"/>
  <c r="G25" i="19"/>
  <c r="F25" i="19"/>
  <c r="E25" i="19"/>
  <c r="D25" i="19"/>
  <c r="C25" i="19"/>
  <c r="E26" i="19" s="1"/>
  <c r="B25" i="19"/>
  <c r="G23" i="19"/>
  <c r="G22" i="19"/>
  <c r="G21" i="19"/>
  <c r="G20" i="19"/>
  <c r="G19" i="19"/>
  <c r="G18" i="19"/>
  <c r="G17" i="19"/>
  <c r="G16" i="19"/>
  <c r="G15" i="19"/>
  <c r="G14" i="19"/>
  <c r="L41" i="18"/>
  <c r="K41" i="18"/>
  <c r="J41" i="18"/>
  <c r="I41" i="18"/>
  <c r="G41" i="18"/>
  <c r="F41" i="18"/>
  <c r="E41" i="18"/>
  <c r="D41" i="18"/>
  <c r="C41" i="18"/>
  <c r="B41" i="18"/>
  <c r="H39" i="18"/>
  <c r="H38" i="18"/>
  <c r="H37" i="18"/>
  <c r="H36" i="18"/>
  <c r="H35" i="18"/>
  <c r="H34" i="18"/>
  <c r="H33" i="18"/>
  <c r="H32" i="18"/>
  <c r="H31" i="18"/>
  <c r="H30" i="18"/>
  <c r="K25" i="18"/>
  <c r="J25" i="18"/>
  <c r="I25" i="18"/>
  <c r="H25" i="18"/>
  <c r="F25" i="18"/>
  <c r="E25" i="18"/>
  <c r="D25" i="18"/>
  <c r="C25" i="18"/>
  <c r="B25" i="18"/>
  <c r="G23" i="18"/>
  <c r="G22" i="18"/>
  <c r="G21" i="18"/>
  <c r="G20" i="18"/>
  <c r="G19" i="18"/>
  <c r="G18" i="18"/>
  <c r="G17" i="18"/>
  <c r="G16" i="18"/>
  <c r="G15" i="18"/>
  <c r="G14" i="18"/>
  <c r="L41" i="17"/>
  <c r="K41" i="17"/>
  <c r="J41" i="17"/>
  <c r="I41" i="17"/>
  <c r="G41" i="17"/>
  <c r="F41" i="17"/>
  <c r="E41" i="17"/>
  <c r="D41" i="17"/>
  <c r="F42" i="17" s="1"/>
  <c r="C41" i="17"/>
  <c r="B41" i="17"/>
  <c r="H39" i="17"/>
  <c r="H38" i="17"/>
  <c r="H37" i="17"/>
  <c r="H36" i="17"/>
  <c r="H35" i="17"/>
  <c r="H34" i="17"/>
  <c r="H33" i="17"/>
  <c r="H32" i="17"/>
  <c r="H31" i="17"/>
  <c r="H30" i="17"/>
  <c r="K25" i="17"/>
  <c r="J25" i="17"/>
  <c r="I25" i="17"/>
  <c r="H25" i="17"/>
  <c r="F25" i="17"/>
  <c r="E25" i="17"/>
  <c r="D25" i="17"/>
  <c r="C25" i="17"/>
  <c r="B25" i="17"/>
  <c r="G23" i="17"/>
  <c r="G22" i="17"/>
  <c r="G21" i="17"/>
  <c r="G20" i="17"/>
  <c r="G19" i="17"/>
  <c r="G18" i="17"/>
  <c r="G17" i="17"/>
  <c r="G16" i="17"/>
  <c r="G25" i="17" s="1"/>
  <c r="G15" i="17"/>
  <c r="G14" i="17"/>
  <c r="J9" i="13"/>
  <c r="I9" i="13"/>
  <c r="H9" i="13"/>
  <c r="G9" i="13"/>
  <c r="E9" i="13"/>
  <c r="D11" i="13"/>
  <c r="D10" i="13"/>
  <c r="D9" i="13"/>
  <c r="O7" i="2"/>
  <c r="V28" i="13"/>
  <c r="V27" i="13"/>
  <c r="V29" i="13"/>
  <c r="Q38" i="13"/>
  <c r="Q37" i="13"/>
  <c r="Q35" i="13"/>
  <c r="Q34" i="13"/>
  <c r="Q32" i="13"/>
  <c r="Q31" i="13"/>
  <c r="Q29" i="13"/>
  <c r="Q28" i="13"/>
  <c r="K38" i="13"/>
  <c r="K37" i="13"/>
  <c r="K35" i="13"/>
  <c r="K34" i="13"/>
  <c r="K32" i="13"/>
  <c r="K31" i="13"/>
  <c r="K29" i="13"/>
  <c r="K28" i="13"/>
  <c r="E38" i="13"/>
  <c r="E37" i="13"/>
  <c r="E35" i="13"/>
  <c r="E34" i="13"/>
  <c r="E32" i="13"/>
  <c r="E31" i="13"/>
  <c r="E29" i="13"/>
  <c r="E28" i="13"/>
  <c r="Q36" i="13"/>
  <c r="R36" i="13" s="1"/>
  <c r="K36" i="13"/>
  <c r="E36" i="13"/>
  <c r="Q33" i="13"/>
  <c r="K33" i="13"/>
  <c r="E33" i="13"/>
  <c r="Q30" i="13"/>
  <c r="K30" i="13"/>
  <c r="E30" i="13"/>
  <c r="Q27" i="13"/>
  <c r="K27" i="13"/>
  <c r="E27" i="13"/>
  <c r="C77" i="14"/>
  <c r="D77" i="14"/>
  <c r="E77" i="14"/>
  <c r="F77" i="14"/>
  <c r="G77" i="14"/>
  <c r="H77" i="14"/>
  <c r="I77" i="14"/>
  <c r="B77" i="14"/>
  <c r="F60" i="14"/>
  <c r="I60" i="14"/>
  <c r="C60" i="14"/>
  <c r="D60" i="14"/>
  <c r="E60" i="14"/>
  <c r="G60" i="14"/>
  <c r="H60" i="14"/>
  <c r="B60" i="14"/>
  <c r="I43" i="14"/>
  <c r="C43" i="14"/>
  <c r="D43" i="14"/>
  <c r="E43" i="14"/>
  <c r="F43" i="14"/>
  <c r="G43" i="14"/>
  <c r="H43" i="14"/>
  <c r="B43" i="14"/>
  <c r="C26" i="14"/>
  <c r="D26" i="14"/>
  <c r="E26" i="14"/>
  <c r="F26" i="14"/>
  <c r="G26" i="14"/>
  <c r="H26" i="14"/>
  <c r="I26" i="14"/>
  <c r="B26" i="14"/>
  <c r="C77" i="15"/>
  <c r="D77" i="15"/>
  <c r="E77" i="15"/>
  <c r="F77" i="15"/>
  <c r="G77" i="15"/>
  <c r="H77" i="15"/>
  <c r="I77" i="15"/>
  <c r="B77" i="15"/>
  <c r="C60" i="15"/>
  <c r="D60" i="15"/>
  <c r="E60" i="15"/>
  <c r="F60" i="15"/>
  <c r="G60" i="15"/>
  <c r="H60" i="15"/>
  <c r="I60" i="15"/>
  <c r="B60" i="15"/>
  <c r="C43" i="15"/>
  <c r="D43" i="15"/>
  <c r="E43" i="15"/>
  <c r="F43" i="15"/>
  <c r="G43" i="15"/>
  <c r="H43" i="15"/>
  <c r="I43" i="15"/>
  <c r="B43" i="15"/>
  <c r="C26" i="15"/>
  <c r="D26" i="15"/>
  <c r="E26" i="15"/>
  <c r="F26" i="15"/>
  <c r="G26" i="15"/>
  <c r="H26" i="15"/>
  <c r="I26" i="15"/>
  <c r="B26" i="15"/>
  <c r="I26" i="16"/>
  <c r="C26" i="16"/>
  <c r="D26" i="16"/>
  <c r="E26" i="16"/>
  <c r="F26" i="16"/>
  <c r="G26" i="16"/>
  <c r="H26" i="16"/>
  <c r="B26" i="16"/>
  <c r="C43" i="16"/>
  <c r="D43" i="16"/>
  <c r="E43" i="16"/>
  <c r="F43" i="16"/>
  <c r="G43" i="16"/>
  <c r="H43" i="16"/>
  <c r="I43" i="16"/>
  <c r="B43" i="16"/>
  <c r="C60" i="16"/>
  <c r="D60" i="16"/>
  <c r="E60" i="16"/>
  <c r="F60" i="16"/>
  <c r="G60" i="16"/>
  <c r="H60" i="16"/>
  <c r="I60" i="16"/>
  <c r="B60" i="16"/>
  <c r="C77" i="16"/>
  <c r="D77" i="16"/>
  <c r="E77" i="16"/>
  <c r="F77" i="16"/>
  <c r="G77" i="16"/>
  <c r="H77" i="16"/>
  <c r="I77" i="16"/>
  <c r="B77" i="16"/>
  <c r="F42" i="2"/>
  <c r="P36" i="13"/>
  <c r="P33" i="13"/>
  <c r="P30" i="13"/>
  <c r="P27" i="13"/>
  <c r="J36" i="13"/>
  <c r="J33" i="13"/>
  <c r="J30" i="13"/>
  <c r="J27" i="13"/>
  <c r="F9" i="13"/>
  <c r="N9" i="13"/>
  <c r="D29" i="13" s="1"/>
  <c r="M9" i="13"/>
  <c r="D28" i="13" s="1"/>
  <c r="L9" i="13"/>
  <c r="K9" i="13"/>
  <c r="I76" i="16"/>
  <c r="H76" i="16"/>
  <c r="G76" i="16"/>
  <c r="F76" i="16"/>
  <c r="E76" i="16"/>
  <c r="D76" i="16"/>
  <c r="C76" i="16"/>
  <c r="B76" i="16"/>
  <c r="I59" i="16"/>
  <c r="H59" i="16"/>
  <c r="G59" i="16"/>
  <c r="F59" i="16"/>
  <c r="E59" i="16"/>
  <c r="D59" i="16"/>
  <c r="C59" i="16"/>
  <c r="B59" i="16"/>
  <c r="I42" i="16"/>
  <c r="H42" i="16"/>
  <c r="G42" i="16"/>
  <c r="F42" i="16"/>
  <c r="E42" i="16"/>
  <c r="D42" i="16"/>
  <c r="C42" i="16"/>
  <c r="B42" i="16"/>
  <c r="I25" i="16"/>
  <c r="H25" i="16"/>
  <c r="G25" i="16"/>
  <c r="F25" i="16"/>
  <c r="E25" i="16"/>
  <c r="D25" i="16"/>
  <c r="C25" i="16"/>
  <c r="B25" i="16"/>
  <c r="I76" i="15"/>
  <c r="H76" i="15"/>
  <c r="G76" i="15"/>
  <c r="F76" i="15"/>
  <c r="E76" i="15"/>
  <c r="D76" i="15"/>
  <c r="C76" i="15"/>
  <c r="B76" i="15"/>
  <c r="I59" i="15"/>
  <c r="H59" i="15"/>
  <c r="G59" i="15"/>
  <c r="F59" i="15"/>
  <c r="E59" i="15"/>
  <c r="D59" i="15"/>
  <c r="C59" i="15"/>
  <c r="B59" i="15"/>
  <c r="I42" i="15"/>
  <c r="H42" i="15"/>
  <c r="G42" i="15"/>
  <c r="F42" i="15"/>
  <c r="E42" i="15"/>
  <c r="D42" i="15"/>
  <c r="C42" i="15"/>
  <c r="B42" i="15"/>
  <c r="I25" i="15"/>
  <c r="H25" i="15"/>
  <c r="G25" i="15"/>
  <c r="F25" i="15"/>
  <c r="E25" i="15"/>
  <c r="D25" i="15"/>
  <c r="C25" i="15"/>
  <c r="B25" i="15"/>
  <c r="I76" i="14"/>
  <c r="H76" i="14"/>
  <c r="G76" i="14"/>
  <c r="F76" i="14"/>
  <c r="E76" i="14"/>
  <c r="D76" i="14"/>
  <c r="C76" i="14"/>
  <c r="B76" i="14"/>
  <c r="I59" i="14"/>
  <c r="H59" i="14"/>
  <c r="G59" i="14"/>
  <c r="F59" i="14"/>
  <c r="E59" i="14"/>
  <c r="D59" i="14"/>
  <c r="C59" i="14"/>
  <c r="B59" i="14"/>
  <c r="I42" i="14"/>
  <c r="H42" i="14"/>
  <c r="G42" i="14"/>
  <c r="F42" i="14"/>
  <c r="E42" i="14"/>
  <c r="D42" i="14"/>
  <c r="C42" i="14"/>
  <c r="B42" i="14"/>
  <c r="I25" i="14"/>
  <c r="H25" i="14"/>
  <c r="G25" i="14"/>
  <c r="F25" i="14"/>
  <c r="E25" i="14"/>
  <c r="D25" i="14"/>
  <c r="C25" i="14"/>
  <c r="B25" i="14"/>
  <c r="L41" i="12"/>
  <c r="K41" i="12"/>
  <c r="N20" i="13" s="1"/>
  <c r="P38" i="13" s="1"/>
  <c r="J41" i="12"/>
  <c r="M20" i="13" s="1"/>
  <c r="P37" i="13" s="1"/>
  <c r="I41" i="12"/>
  <c r="L20" i="13" s="1"/>
  <c r="G41" i="12"/>
  <c r="F41" i="12"/>
  <c r="E41" i="12"/>
  <c r="F20" i="13" s="1"/>
  <c r="D41" i="12"/>
  <c r="C41" i="12"/>
  <c r="B41" i="12"/>
  <c r="H39" i="12"/>
  <c r="H38" i="12"/>
  <c r="H37" i="12"/>
  <c r="H36" i="12"/>
  <c r="H35" i="12"/>
  <c r="H34" i="12"/>
  <c r="H33" i="12"/>
  <c r="H32" i="12"/>
  <c r="H31" i="12"/>
  <c r="H30" i="12"/>
  <c r="H41" i="12" s="1"/>
  <c r="K25" i="12"/>
  <c r="J25" i="12"/>
  <c r="J20" i="13" s="1"/>
  <c r="I25" i="12"/>
  <c r="I20" i="13" s="1"/>
  <c r="H25" i="12"/>
  <c r="H20" i="13" s="1"/>
  <c r="F25" i="12"/>
  <c r="E25" i="12"/>
  <c r="D25" i="12"/>
  <c r="E20" i="13" s="1"/>
  <c r="C25" i="12"/>
  <c r="O7" i="12" s="1"/>
  <c r="D20" i="13" s="1"/>
  <c r="B25" i="12"/>
  <c r="G23" i="12"/>
  <c r="G22" i="12"/>
  <c r="G21" i="12"/>
  <c r="G20" i="12"/>
  <c r="G19" i="12"/>
  <c r="G18" i="12"/>
  <c r="G17" i="12"/>
  <c r="G16" i="12"/>
  <c r="G15" i="12"/>
  <c r="G25" i="12" s="1"/>
  <c r="G14" i="12"/>
  <c r="L41" i="11"/>
  <c r="K41" i="11"/>
  <c r="N19" i="13" s="1"/>
  <c r="P35" i="13" s="1"/>
  <c r="J41" i="11"/>
  <c r="M19" i="13" s="1"/>
  <c r="P34" i="13" s="1"/>
  <c r="I41" i="11"/>
  <c r="L19" i="13" s="1"/>
  <c r="G41" i="11"/>
  <c r="F41" i="11"/>
  <c r="E41" i="11"/>
  <c r="F19" i="13" s="1"/>
  <c r="D41" i="11"/>
  <c r="C41" i="11"/>
  <c r="B41" i="11"/>
  <c r="H39" i="11"/>
  <c r="H38" i="11"/>
  <c r="H37" i="11"/>
  <c r="H36" i="11"/>
  <c r="H35" i="11"/>
  <c r="H34" i="11"/>
  <c r="H33" i="11"/>
  <c r="H32" i="11"/>
  <c r="H31" i="11"/>
  <c r="H30" i="11"/>
  <c r="K25" i="11"/>
  <c r="J25" i="11"/>
  <c r="J19" i="13" s="1"/>
  <c r="I25" i="11"/>
  <c r="I19" i="13" s="1"/>
  <c r="H25" i="11"/>
  <c r="H19" i="13" s="1"/>
  <c r="F25" i="11"/>
  <c r="E25" i="11"/>
  <c r="D25" i="11"/>
  <c r="E19" i="13" s="1"/>
  <c r="C25" i="11"/>
  <c r="E26" i="11" s="1"/>
  <c r="G19" i="13" s="1"/>
  <c r="B25" i="11"/>
  <c r="G23" i="11"/>
  <c r="G22" i="11"/>
  <c r="G21" i="11"/>
  <c r="G20" i="11"/>
  <c r="G19" i="11"/>
  <c r="G18" i="11"/>
  <c r="G17" i="11"/>
  <c r="G16" i="11"/>
  <c r="G15" i="11"/>
  <c r="G14" i="11"/>
  <c r="L41" i="10"/>
  <c r="K41" i="10"/>
  <c r="N18" i="13" s="1"/>
  <c r="P32" i="13" s="1"/>
  <c r="J41" i="10"/>
  <c r="M18" i="13" s="1"/>
  <c r="P31" i="13" s="1"/>
  <c r="I41" i="10"/>
  <c r="L18" i="13" s="1"/>
  <c r="G41" i="10"/>
  <c r="F42" i="10" s="1"/>
  <c r="F41" i="10"/>
  <c r="E41" i="10"/>
  <c r="F18" i="13" s="1"/>
  <c r="D41" i="10"/>
  <c r="C41" i="10"/>
  <c r="B41" i="10"/>
  <c r="H39" i="10"/>
  <c r="H38" i="10"/>
  <c r="H37" i="10"/>
  <c r="H36" i="10"/>
  <c r="H35" i="10"/>
  <c r="H34" i="10"/>
  <c r="H33" i="10"/>
  <c r="H32" i="10"/>
  <c r="H31" i="10"/>
  <c r="H30" i="10"/>
  <c r="K25" i="10"/>
  <c r="J25" i="10"/>
  <c r="J18" i="13" s="1"/>
  <c r="I25" i="10"/>
  <c r="I18" i="13" s="1"/>
  <c r="H25" i="10"/>
  <c r="H18" i="13" s="1"/>
  <c r="F25" i="10"/>
  <c r="E25" i="10"/>
  <c r="D25" i="10"/>
  <c r="E18" i="13" s="1"/>
  <c r="C25" i="10"/>
  <c r="B25" i="10"/>
  <c r="G23" i="10"/>
  <c r="G22" i="10"/>
  <c r="G21" i="10"/>
  <c r="G20" i="10"/>
  <c r="G19" i="10"/>
  <c r="G18" i="10"/>
  <c r="G17" i="10"/>
  <c r="G16" i="10"/>
  <c r="G15" i="10"/>
  <c r="G25" i="10" s="1"/>
  <c r="G14" i="10"/>
  <c r="L41" i="9"/>
  <c r="K41" i="9"/>
  <c r="N17" i="13" s="1"/>
  <c r="P29" i="13" s="1"/>
  <c r="J41" i="9"/>
  <c r="M17" i="13" s="1"/>
  <c r="P28" i="13" s="1"/>
  <c r="I41" i="9"/>
  <c r="L17" i="13" s="1"/>
  <c r="G41" i="9"/>
  <c r="F41" i="9"/>
  <c r="E41" i="9"/>
  <c r="F17" i="13" s="1"/>
  <c r="D41" i="9"/>
  <c r="C41" i="9"/>
  <c r="B41" i="9"/>
  <c r="H39" i="9"/>
  <c r="H38" i="9"/>
  <c r="H37" i="9"/>
  <c r="H36" i="9"/>
  <c r="H35" i="9"/>
  <c r="H34" i="9"/>
  <c r="H33" i="9"/>
  <c r="H32" i="9"/>
  <c r="H31" i="9"/>
  <c r="H30" i="9"/>
  <c r="H41" i="9" s="1"/>
  <c r="K25" i="9"/>
  <c r="J25" i="9"/>
  <c r="J17" i="13" s="1"/>
  <c r="I25" i="9"/>
  <c r="I17" i="13" s="1"/>
  <c r="H25" i="9"/>
  <c r="H17" i="13" s="1"/>
  <c r="F25" i="9"/>
  <c r="E25" i="9"/>
  <c r="D25" i="9"/>
  <c r="E17" i="13" s="1"/>
  <c r="C25" i="9"/>
  <c r="B25" i="9"/>
  <c r="G23" i="9"/>
  <c r="G22" i="9"/>
  <c r="G21" i="9"/>
  <c r="G20" i="9"/>
  <c r="G19" i="9"/>
  <c r="G18" i="9"/>
  <c r="G17" i="9"/>
  <c r="G16" i="9"/>
  <c r="G15" i="9"/>
  <c r="G14" i="9"/>
  <c r="L41" i="8"/>
  <c r="K41" i="8"/>
  <c r="N16" i="13" s="1"/>
  <c r="J38" i="13" s="1"/>
  <c r="J41" i="8"/>
  <c r="M16" i="13" s="1"/>
  <c r="J37" i="13" s="1"/>
  <c r="I41" i="8"/>
  <c r="L16" i="13" s="1"/>
  <c r="G41" i="8"/>
  <c r="F41" i="8"/>
  <c r="E41" i="8"/>
  <c r="F16" i="13" s="1"/>
  <c r="D41" i="8"/>
  <c r="C41" i="8"/>
  <c r="B41" i="8"/>
  <c r="H39" i="8"/>
  <c r="H38" i="8"/>
  <c r="H37" i="8"/>
  <c r="H36" i="8"/>
  <c r="H35" i="8"/>
  <c r="H34" i="8"/>
  <c r="H33" i="8"/>
  <c r="H32" i="8"/>
  <c r="H31" i="8"/>
  <c r="H30" i="8"/>
  <c r="K25" i="8"/>
  <c r="J25" i="8"/>
  <c r="J16" i="13" s="1"/>
  <c r="I25" i="8"/>
  <c r="I16" i="13" s="1"/>
  <c r="H25" i="8"/>
  <c r="H16" i="13" s="1"/>
  <c r="F25" i="8"/>
  <c r="E25" i="8"/>
  <c r="D25" i="8"/>
  <c r="E16" i="13" s="1"/>
  <c r="C25" i="8"/>
  <c r="B25" i="8"/>
  <c r="G23" i="8"/>
  <c r="G22" i="8"/>
  <c r="G21" i="8"/>
  <c r="G20" i="8"/>
  <c r="G19" i="8"/>
  <c r="G18" i="8"/>
  <c r="G17" i="8"/>
  <c r="G16" i="8"/>
  <c r="G15" i="8"/>
  <c r="G14" i="8"/>
  <c r="L41" i="7"/>
  <c r="K41" i="7"/>
  <c r="N15" i="13" s="1"/>
  <c r="J35" i="13" s="1"/>
  <c r="J41" i="7"/>
  <c r="M15" i="13" s="1"/>
  <c r="J34" i="13" s="1"/>
  <c r="I41" i="7"/>
  <c r="L15" i="13" s="1"/>
  <c r="G41" i="7"/>
  <c r="F41" i="7"/>
  <c r="E41" i="7"/>
  <c r="F15" i="13" s="1"/>
  <c r="D41" i="7"/>
  <c r="C41" i="7"/>
  <c r="B41" i="7"/>
  <c r="H39" i="7"/>
  <c r="H38" i="7"/>
  <c r="H37" i="7"/>
  <c r="H36" i="7"/>
  <c r="H35" i="7"/>
  <c r="H34" i="7"/>
  <c r="H33" i="7"/>
  <c r="H32" i="7"/>
  <c r="H31" i="7"/>
  <c r="H30" i="7"/>
  <c r="K25" i="7"/>
  <c r="J25" i="7"/>
  <c r="J15" i="13" s="1"/>
  <c r="I25" i="7"/>
  <c r="I15" i="13" s="1"/>
  <c r="H25" i="7"/>
  <c r="H15" i="13" s="1"/>
  <c r="F25" i="7"/>
  <c r="E25" i="7"/>
  <c r="D25" i="7"/>
  <c r="E15" i="13" s="1"/>
  <c r="C25" i="7"/>
  <c r="B25" i="7"/>
  <c r="G23" i="7"/>
  <c r="G22" i="7"/>
  <c r="G21" i="7"/>
  <c r="G20" i="7"/>
  <c r="G19" i="7"/>
  <c r="G18" i="7"/>
  <c r="G17" i="7"/>
  <c r="G16" i="7"/>
  <c r="G15" i="7"/>
  <c r="G14" i="7"/>
  <c r="L41" i="6"/>
  <c r="K41" i="6"/>
  <c r="N14" i="13" s="1"/>
  <c r="J32" i="13" s="1"/>
  <c r="J41" i="6"/>
  <c r="M14" i="13" s="1"/>
  <c r="J31" i="13" s="1"/>
  <c r="I41" i="6"/>
  <c r="L14" i="13" s="1"/>
  <c r="G41" i="6"/>
  <c r="F41" i="6"/>
  <c r="E41" i="6"/>
  <c r="F14" i="13" s="1"/>
  <c r="D41" i="6"/>
  <c r="C41" i="6"/>
  <c r="B41" i="6"/>
  <c r="H39" i="6"/>
  <c r="H38" i="6"/>
  <c r="H37" i="6"/>
  <c r="H36" i="6"/>
  <c r="H35" i="6"/>
  <c r="H34" i="6"/>
  <c r="H33" i="6"/>
  <c r="H32" i="6"/>
  <c r="H31" i="6"/>
  <c r="H30" i="6"/>
  <c r="K25" i="6"/>
  <c r="J25" i="6"/>
  <c r="J14" i="13" s="1"/>
  <c r="I25" i="6"/>
  <c r="I14" i="13" s="1"/>
  <c r="H25" i="6"/>
  <c r="H14" i="13" s="1"/>
  <c r="F25" i="6"/>
  <c r="E25" i="6"/>
  <c r="D25" i="6"/>
  <c r="E14" i="13" s="1"/>
  <c r="C25" i="6"/>
  <c r="B25" i="6"/>
  <c r="G23" i="6"/>
  <c r="G22" i="6"/>
  <c r="G21" i="6"/>
  <c r="G20" i="6"/>
  <c r="G19" i="6"/>
  <c r="G18" i="6"/>
  <c r="G17" i="6"/>
  <c r="G16" i="6"/>
  <c r="G15" i="6"/>
  <c r="G14" i="6"/>
  <c r="L41" i="5"/>
  <c r="K41" i="5"/>
  <c r="N13" i="13" s="1"/>
  <c r="J29" i="13" s="1"/>
  <c r="J41" i="5"/>
  <c r="M13" i="13" s="1"/>
  <c r="J28" i="13" s="1"/>
  <c r="I41" i="5"/>
  <c r="L13" i="13" s="1"/>
  <c r="G41" i="5"/>
  <c r="F41" i="5"/>
  <c r="E41" i="5"/>
  <c r="F13" i="13" s="1"/>
  <c r="D41" i="5"/>
  <c r="C41" i="5"/>
  <c r="B41" i="5"/>
  <c r="H39" i="5"/>
  <c r="H38" i="5"/>
  <c r="H37" i="5"/>
  <c r="H36" i="5"/>
  <c r="H35" i="5"/>
  <c r="H34" i="5"/>
  <c r="H33" i="5"/>
  <c r="H32" i="5"/>
  <c r="H31" i="5"/>
  <c r="H30" i="5"/>
  <c r="K25" i="5"/>
  <c r="J25" i="5"/>
  <c r="J13" i="13" s="1"/>
  <c r="I25" i="5"/>
  <c r="I13" i="13" s="1"/>
  <c r="H25" i="5"/>
  <c r="H13" i="13" s="1"/>
  <c r="F25" i="5"/>
  <c r="E25" i="5"/>
  <c r="D25" i="5"/>
  <c r="E13" i="13" s="1"/>
  <c r="C25" i="5"/>
  <c r="B25" i="5"/>
  <c r="G23" i="5"/>
  <c r="G22" i="5"/>
  <c r="G21" i="5"/>
  <c r="G20" i="5"/>
  <c r="G19" i="5"/>
  <c r="G18" i="5"/>
  <c r="G17" i="5"/>
  <c r="G16" i="5"/>
  <c r="G15" i="5"/>
  <c r="G14" i="5"/>
  <c r="L41" i="4"/>
  <c r="K41" i="4"/>
  <c r="D38" i="13" s="1"/>
  <c r="J41" i="4"/>
  <c r="D37" i="13" s="1"/>
  <c r="I41" i="4"/>
  <c r="G41" i="4"/>
  <c r="F41" i="4"/>
  <c r="E41" i="4"/>
  <c r="D41" i="4"/>
  <c r="C41" i="4"/>
  <c r="B41" i="4"/>
  <c r="H39" i="4"/>
  <c r="H38" i="4"/>
  <c r="H37" i="4"/>
  <c r="H36" i="4"/>
  <c r="H35" i="4"/>
  <c r="H34" i="4"/>
  <c r="H33" i="4"/>
  <c r="H32" i="4"/>
  <c r="H31" i="4"/>
  <c r="H30" i="4"/>
  <c r="K25" i="4"/>
  <c r="J25" i="4"/>
  <c r="I25" i="4"/>
  <c r="H25" i="4"/>
  <c r="F25" i="4"/>
  <c r="E25" i="4"/>
  <c r="D25" i="4"/>
  <c r="C25" i="4"/>
  <c r="B25" i="4"/>
  <c r="G23" i="4"/>
  <c r="G22" i="4"/>
  <c r="G21" i="4"/>
  <c r="G20" i="4"/>
  <c r="G19" i="4"/>
  <c r="G18" i="4"/>
  <c r="G17" i="4"/>
  <c r="G16" i="4"/>
  <c r="G15" i="4"/>
  <c r="G14" i="4"/>
  <c r="L41" i="3"/>
  <c r="K41" i="3"/>
  <c r="N11" i="13" s="1"/>
  <c r="D35" i="13" s="1"/>
  <c r="J41" i="3"/>
  <c r="D34" i="13" s="1"/>
  <c r="I41" i="3"/>
  <c r="L11" i="13" s="1"/>
  <c r="G41" i="3"/>
  <c r="F41" i="3"/>
  <c r="E41" i="3"/>
  <c r="F11" i="13" s="1"/>
  <c r="D41" i="3"/>
  <c r="C41" i="3"/>
  <c r="B41" i="3"/>
  <c r="H39" i="3"/>
  <c r="H38" i="3"/>
  <c r="H37" i="3"/>
  <c r="H36" i="3"/>
  <c r="H35" i="3"/>
  <c r="H34" i="3"/>
  <c r="H33" i="3"/>
  <c r="H32" i="3"/>
  <c r="H31" i="3"/>
  <c r="H30" i="3"/>
  <c r="H41" i="3" s="1"/>
  <c r="K25" i="3"/>
  <c r="J25" i="3"/>
  <c r="J11" i="13" s="1"/>
  <c r="I25" i="3"/>
  <c r="I11" i="13" s="1"/>
  <c r="H25" i="3"/>
  <c r="H11" i="13" s="1"/>
  <c r="F25" i="3"/>
  <c r="E25" i="3"/>
  <c r="D25" i="3"/>
  <c r="E11" i="13" s="1"/>
  <c r="C25" i="3"/>
  <c r="B25" i="3"/>
  <c r="G23" i="3"/>
  <c r="G22" i="3"/>
  <c r="G21" i="3"/>
  <c r="G20" i="3"/>
  <c r="G19" i="3"/>
  <c r="G18" i="3"/>
  <c r="G17" i="3"/>
  <c r="G16" i="3"/>
  <c r="G15" i="3"/>
  <c r="G14" i="3"/>
  <c r="L41" i="2"/>
  <c r="K41" i="2"/>
  <c r="N10" i="13" s="1"/>
  <c r="D32" i="13" s="1"/>
  <c r="J41" i="2"/>
  <c r="M10" i="13" s="1"/>
  <c r="D31" i="13" s="1"/>
  <c r="I41" i="2"/>
  <c r="L10" i="13" s="1"/>
  <c r="G41" i="2"/>
  <c r="F41" i="2"/>
  <c r="E41" i="2"/>
  <c r="F10" i="13" s="1"/>
  <c r="D41" i="2"/>
  <c r="C41" i="2"/>
  <c r="B41" i="2"/>
  <c r="H39" i="2"/>
  <c r="H38" i="2"/>
  <c r="H37" i="2"/>
  <c r="H36" i="2"/>
  <c r="H35" i="2"/>
  <c r="H34" i="2"/>
  <c r="H33" i="2"/>
  <c r="H32" i="2"/>
  <c r="H31" i="2"/>
  <c r="H30" i="2"/>
  <c r="K25" i="2"/>
  <c r="J25" i="2"/>
  <c r="J10" i="13" s="1"/>
  <c r="I25" i="2"/>
  <c r="I10" i="13" s="1"/>
  <c r="H25" i="2"/>
  <c r="H10" i="13" s="1"/>
  <c r="F25" i="2"/>
  <c r="E25" i="2"/>
  <c r="D25" i="2"/>
  <c r="E10" i="13" s="1"/>
  <c r="C25" i="2"/>
  <c r="B25" i="2"/>
  <c r="G23" i="2"/>
  <c r="G22" i="2"/>
  <c r="G21" i="2"/>
  <c r="G20" i="2"/>
  <c r="G19" i="2"/>
  <c r="G18" i="2"/>
  <c r="G17" i="2"/>
  <c r="G16" i="2"/>
  <c r="G15" i="2"/>
  <c r="G14" i="2"/>
  <c r="L41" i="1"/>
  <c r="I41" i="1"/>
  <c r="G41" i="1"/>
  <c r="F41" i="1"/>
  <c r="E41" i="1"/>
  <c r="D41" i="1"/>
  <c r="C41" i="1"/>
  <c r="B41" i="1"/>
  <c r="H39" i="1"/>
  <c r="H38" i="1"/>
  <c r="H37" i="1"/>
  <c r="H36" i="1"/>
  <c r="H35" i="1"/>
  <c r="H34" i="1"/>
  <c r="H33" i="1"/>
  <c r="H32" i="1"/>
  <c r="K41" i="1"/>
  <c r="H31" i="1"/>
  <c r="J41" i="1"/>
  <c r="H30" i="1"/>
  <c r="K25" i="1"/>
  <c r="H25" i="1"/>
  <c r="F25" i="1"/>
  <c r="E25" i="1"/>
  <c r="D25" i="1"/>
  <c r="C25" i="1"/>
  <c r="B25" i="1"/>
  <c r="G23" i="1"/>
  <c r="G22" i="1"/>
  <c r="G21" i="1"/>
  <c r="G20" i="1"/>
  <c r="G19" i="1"/>
  <c r="G18" i="1"/>
  <c r="G17" i="1"/>
  <c r="G16" i="1"/>
  <c r="G15" i="1"/>
  <c r="J25" i="1"/>
  <c r="I25" i="1"/>
  <c r="G14" i="1"/>
  <c r="F42" i="23" l="1"/>
  <c r="G25" i="22"/>
  <c r="H41" i="23"/>
  <c r="G25" i="23"/>
  <c r="H41" i="22"/>
  <c r="E26" i="22"/>
  <c r="G25" i="20"/>
  <c r="F42" i="20"/>
  <c r="G25" i="18"/>
  <c r="H41" i="19"/>
  <c r="O7" i="19"/>
  <c r="E26" i="20"/>
  <c r="H41" i="17"/>
  <c r="O7" i="17"/>
  <c r="H41" i="18"/>
  <c r="O7" i="18"/>
  <c r="F42" i="18"/>
  <c r="E26" i="18"/>
  <c r="E26" i="17"/>
  <c r="E26" i="10"/>
  <c r="G18" i="13" s="1"/>
  <c r="G25" i="9"/>
  <c r="E26" i="8"/>
  <c r="G16" i="13" s="1"/>
  <c r="E26" i="7"/>
  <c r="G15" i="13" s="1"/>
  <c r="E26" i="1"/>
  <c r="L30" i="13"/>
  <c r="F42" i="4"/>
  <c r="F42" i="3"/>
  <c r="K11" i="13" s="1"/>
  <c r="F42" i="5"/>
  <c r="K13" i="13" s="1"/>
  <c r="F42" i="7"/>
  <c r="K15" i="13" s="1"/>
  <c r="H41" i="7"/>
  <c r="F42" i="12"/>
  <c r="K20" i="13" s="1"/>
  <c r="O7" i="9"/>
  <c r="D17" i="13" s="1"/>
  <c r="F42" i="9"/>
  <c r="K17" i="13" s="1"/>
  <c r="R27" i="13"/>
  <c r="H41" i="8"/>
  <c r="G25" i="11"/>
  <c r="H41" i="11"/>
  <c r="H41" i="10"/>
  <c r="G25" i="7"/>
  <c r="G25" i="6"/>
  <c r="O7" i="6"/>
  <c r="D14" i="13" s="1"/>
  <c r="R30" i="13"/>
  <c r="K10" i="13"/>
  <c r="G25" i="5"/>
  <c r="O7" i="5"/>
  <c r="D13" i="13" s="1"/>
  <c r="H41" i="5"/>
  <c r="D30" i="13"/>
  <c r="F30" i="13" s="1"/>
  <c r="F36" i="13"/>
  <c r="V30" i="13" s="1"/>
  <c r="H41" i="6"/>
  <c r="F42" i="1"/>
  <c r="G25" i="3"/>
  <c r="O7" i="3"/>
  <c r="G25" i="4"/>
  <c r="E26" i="4"/>
  <c r="H41" i="4"/>
  <c r="O7" i="8"/>
  <c r="D16" i="13" s="1"/>
  <c r="F42" i="8"/>
  <c r="K16" i="13" s="1"/>
  <c r="F42" i="11"/>
  <c r="K19" i="13" s="1"/>
  <c r="R33" i="13"/>
  <c r="G25" i="2"/>
  <c r="H41" i="2"/>
  <c r="L36" i="13"/>
  <c r="K18" i="13"/>
  <c r="F42" i="6"/>
  <c r="K14" i="13" s="1"/>
  <c r="G25" i="8"/>
  <c r="L27" i="13"/>
  <c r="D27" i="13"/>
  <c r="F27" i="13" s="1"/>
  <c r="D33" i="13"/>
  <c r="F33" i="13" s="1"/>
  <c r="L33" i="13"/>
  <c r="E26" i="12"/>
  <c r="G20" i="13" s="1"/>
  <c r="O7" i="11"/>
  <c r="D19" i="13" s="1"/>
  <c r="O7" i="10"/>
  <c r="D18" i="13" s="1"/>
  <c r="E26" i="9"/>
  <c r="G17" i="13" s="1"/>
  <c r="O7" i="7"/>
  <c r="D15" i="13" s="1"/>
  <c r="E26" i="6"/>
  <c r="G14" i="13" s="1"/>
  <c r="E26" i="5"/>
  <c r="G13" i="13" s="1"/>
  <c r="O7" i="4"/>
  <c r="E26" i="3"/>
  <c r="G11" i="13" s="1"/>
  <c r="E26" i="2"/>
  <c r="G10" i="13" s="1"/>
  <c r="O7" i="1"/>
  <c r="H41" i="1"/>
  <c r="G25" i="1"/>
</calcChain>
</file>

<file path=xl/sharedStrings.xml><?xml version="1.0" encoding="utf-8"?>
<sst xmlns="http://schemas.openxmlformats.org/spreadsheetml/2006/main" count="974" uniqueCount="67">
  <si>
    <t>bins J (1° stage)</t>
  </si>
  <si>
    <t xml:space="preserve"># fixed bins </t>
  </si>
  <si>
    <t>OF</t>
  </si>
  <si>
    <t>Time</t>
  </si>
  <si>
    <t>Gap</t>
  </si>
  <si>
    <t xml:space="preserve">LB </t>
  </si>
  <si>
    <t>deterministic solution</t>
  </si>
  <si>
    <t>EVP</t>
  </si>
  <si>
    <t>VSS%</t>
  </si>
  <si>
    <t>zEVP</t>
  </si>
  <si>
    <t># bins extra</t>
  </si>
  <si>
    <t>time_execution</t>
  </si>
  <si>
    <t>LB</t>
  </si>
  <si>
    <t xml:space="preserve">Optimality reached? </t>
  </si>
  <si>
    <t>O_fs</t>
  </si>
  <si>
    <t>F_fs</t>
  </si>
  <si>
    <t>F_ss</t>
  </si>
  <si>
    <t>#items</t>
  </si>
  <si>
    <t>avg</t>
  </si>
  <si>
    <t>Stochastic 2 stage</t>
  </si>
  <si>
    <t># fixed bins</t>
  </si>
  <si>
    <t>bins extra</t>
  </si>
  <si>
    <t># items</t>
  </si>
  <si>
    <t>Fewer Scenarios</t>
  </si>
  <si>
    <t>S=25</t>
  </si>
  <si>
    <t>Stochastic - 2 stage</t>
  </si>
  <si>
    <t>S=3</t>
  </si>
  <si>
    <t>alfa (%)</t>
  </si>
  <si>
    <t>Time (EVP)</t>
  </si>
  <si>
    <t>Time (Stochastic)</t>
  </si>
  <si>
    <t>Gap (%)</t>
  </si>
  <si>
    <t>O_fs (%)</t>
  </si>
  <si>
    <t>F_fs (%)</t>
  </si>
  <si>
    <t>F_ss (%)</t>
  </si>
  <si>
    <t>sp1</t>
  </si>
  <si>
    <t>S = 10</t>
  </si>
  <si>
    <t>sp2</t>
  </si>
  <si>
    <t>No conraints on items' types</t>
  </si>
  <si>
    <t>sp3</t>
  </si>
  <si>
    <t>No same type constraints</t>
  </si>
  <si>
    <t>Method</t>
  </si>
  <si>
    <t>Heuristic</t>
  </si>
  <si>
    <t>alfa = 5</t>
  </si>
  <si>
    <t>Total cost</t>
  </si>
  <si>
    <t>alfa = 10</t>
  </si>
  <si>
    <t>alfa = 20</t>
  </si>
  <si>
    <t>alfa = 40</t>
  </si>
  <si>
    <t>Heuristic algorithm</t>
  </si>
  <si>
    <t>Time_execution</t>
  </si>
  <si>
    <t>#fixed bins</t>
  </si>
  <si>
    <t>Gap cost</t>
  </si>
  <si>
    <t>Alpha</t>
  </si>
  <si>
    <t>-</t>
  </si>
  <si>
    <t>2SS</t>
  </si>
  <si>
    <t>Time (s)</t>
  </si>
  <si>
    <t>S = 25</t>
  </si>
  <si>
    <t>2 - Stage Stochastic</t>
  </si>
  <si>
    <r>
      <rPr>
        <sz val="12"/>
        <color theme="0"/>
        <rFont val="Symbol"/>
        <charset val="2"/>
      </rPr>
      <t>a</t>
    </r>
    <r>
      <rPr>
        <sz val="12"/>
        <color theme="0"/>
        <rFont val="Aptos Narrow"/>
        <family val="2"/>
        <scheme val="minor"/>
      </rPr>
      <t xml:space="preserve"> (%)</t>
    </r>
  </si>
  <si>
    <r>
      <rPr>
        <sz val="12"/>
        <color theme="1"/>
        <rFont val="Symbol"/>
        <charset val="2"/>
      </rPr>
      <t>a</t>
    </r>
    <r>
      <rPr>
        <sz val="12"/>
        <color theme="1"/>
        <rFont val="Aptos Narrow"/>
        <family val="2"/>
        <scheme val="minor"/>
      </rPr>
      <t xml:space="preserve"> (%)</t>
    </r>
  </si>
  <si>
    <t>No Compatibility Constraints</t>
  </si>
  <si>
    <t>No Same Type Constraints</t>
  </si>
  <si>
    <t>All Compatibility Constraints</t>
  </si>
  <si>
    <t>Constraints Modification</t>
  </si>
  <si>
    <t>S</t>
  </si>
  <si>
    <t>Gap(%)</t>
  </si>
  <si>
    <t>2-Stage Stochastic</t>
  </si>
  <si>
    <t>S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</si>
</sst>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i/>
      <sz val="12"/>
      <color theme="1"/>
      <name val="Aptos Narrow"/>
      <scheme val="minor"/>
    </font>
    <font>
      <b/>
      <sz val="16"/>
      <color theme="0"/>
      <name val="Aptos Narrow"/>
      <scheme val="minor"/>
    </font>
    <font>
      <sz val="11"/>
      <color theme="1"/>
      <name val="Verdana"/>
      <family val="2"/>
    </font>
    <font>
      <sz val="13"/>
      <color theme="1"/>
      <name val="Helvetica Neue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Symbol"/>
      <charset val="2"/>
    </font>
    <font>
      <sz val="12"/>
      <color theme="0"/>
      <name val="Aptos Narrow"/>
      <family val="2"/>
      <charset val="2"/>
      <scheme val="minor"/>
    </font>
    <font>
      <sz val="12"/>
      <color theme="1"/>
      <name val="Symbol"/>
      <charset val="2"/>
    </font>
    <font>
      <sz val="12"/>
      <color theme="1"/>
      <name val="Aptos Narrow"/>
      <family val="2"/>
      <charset val="2"/>
      <scheme val="minor"/>
    </font>
    <font>
      <b/>
      <i/>
      <sz val="12"/>
      <color theme="0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2" tint="-0.24994659260841701"/>
        <bgColor indexed="65"/>
      </patternFill>
    </fill>
    <fill>
      <patternFill patternType="solid">
        <fgColor theme="2" tint="-9.9948118533890809E-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4" applyBorder="0">
      <alignment horizontal="center" vertical="center"/>
    </xf>
    <xf numFmtId="0" fontId="1" fillId="12" borderId="10"/>
    <xf numFmtId="0" fontId="1" fillId="11" borderId="4" applyBorder="0">
      <alignment horizontal="center" vertical="center"/>
    </xf>
    <xf numFmtId="0" fontId="2" fillId="14" borderId="0" applyNumberFormat="0" applyBorder="0" applyAlignment="0" applyProtection="0"/>
    <xf numFmtId="0" fontId="1" fillId="15" borderId="0" applyNumberFormat="0" applyBorder="0" applyAlignment="0" applyProtection="0"/>
  </cellStyleXfs>
  <cellXfs count="196">
    <xf numFmtId="0" fontId="0" fillId="0" borderId="0" xfId="0"/>
    <xf numFmtId="0" fontId="3" fillId="8" borderId="0" xfId="0" applyFont="1" applyFill="1"/>
    <xf numFmtId="0" fontId="3" fillId="2" borderId="0" xfId="2" applyFont="1"/>
    <xf numFmtId="0" fontId="1" fillId="4" borderId="0" xfId="4"/>
    <xf numFmtId="0" fontId="1" fillId="7" borderId="0" xfId="7"/>
    <xf numFmtId="0" fontId="1" fillId="2" borderId="0" xfId="2"/>
    <xf numFmtId="2" fontId="1" fillId="4" borderId="0" xfId="4" applyNumberFormat="1"/>
    <xf numFmtId="10" fontId="1" fillId="2" borderId="0" xfId="2" applyNumberFormat="1"/>
    <xf numFmtId="0" fontId="3" fillId="7" borderId="0" xfId="7" applyFont="1"/>
    <xf numFmtId="0" fontId="3" fillId="6" borderId="0" xfId="6" applyFont="1"/>
    <xf numFmtId="0" fontId="3" fillId="0" borderId="0" xfId="0" applyFont="1"/>
    <xf numFmtId="1" fontId="0" fillId="0" borderId="0" xfId="0" applyNumberFormat="1"/>
    <xf numFmtId="0" fontId="1" fillId="3" borderId="0" xfId="3"/>
    <xf numFmtId="2" fontId="0" fillId="0" borderId="0" xfId="0" applyNumberFormat="1"/>
    <xf numFmtId="0" fontId="4" fillId="9" borderId="0" xfId="0" applyFon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10" borderId="6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1" fillId="0" borderId="0" xfId="8" applyFill="1" applyBorder="1">
      <alignment horizontal="center" vertical="center"/>
    </xf>
    <xf numFmtId="0" fontId="0" fillId="0" borderId="0" xfId="0" quotePrefix="1"/>
    <xf numFmtId="0" fontId="1" fillId="0" borderId="0" xfId="4" applyFill="1"/>
    <xf numFmtId="0" fontId="6" fillId="5" borderId="0" xfId="5" applyFont="1"/>
    <xf numFmtId="0" fontId="3" fillId="0" borderId="0" xfId="6" applyFont="1" applyFill="1"/>
    <xf numFmtId="10" fontId="0" fillId="0" borderId="0" xfId="1" applyNumberFormat="1" applyFont="1"/>
    <xf numFmtId="0" fontId="7" fillId="0" borderId="0" xfId="0" applyFont="1"/>
    <xf numFmtId="11" fontId="0" fillId="0" borderId="0" xfId="0" applyNumberFormat="1"/>
    <xf numFmtId="10" fontId="1" fillId="3" borderId="0" xfId="1" applyNumberFormat="1" applyFill="1"/>
    <xf numFmtId="0" fontId="1" fillId="0" borderId="0" xfId="3" applyFill="1"/>
    <xf numFmtId="0" fontId="1" fillId="0" borderId="0" xfId="2" applyFill="1"/>
    <xf numFmtId="0" fontId="3" fillId="0" borderId="0" xfId="2" applyFont="1" applyFill="1"/>
    <xf numFmtId="0" fontId="1" fillId="0" borderId="0" xfId="7" applyFill="1"/>
    <xf numFmtId="0" fontId="5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0" fillId="13" borderId="0" xfId="0" applyFill="1"/>
    <xf numFmtId="0" fontId="3" fillId="13" borderId="0" xfId="0" applyFont="1" applyFill="1"/>
    <xf numFmtId="10" fontId="0" fillId="13" borderId="0" xfId="1" applyNumberFormat="1" applyFont="1" applyFill="1"/>
    <xf numFmtId="1" fontId="0" fillId="13" borderId="0" xfId="0" applyNumberFormat="1" applyFill="1"/>
    <xf numFmtId="10" fontId="0" fillId="0" borderId="0" xfId="1" applyNumberFormat="1" applyFont="1" applyFill="1"/>
    <xf numFmtId="11" fontId="0" fillId="13" borderId="0" xfId="0" applyNumberFormat="1" applyFill="1"/>
    <xf numFmtId="164" fontId="0" fillId="0" borderId="0" xfId="0" applyNumberFormat="1"/>
    <xf numFmtId="9" fontId="0" fillId="0" borderId="0" xfId="1" applyFont="1" applyFill="1"/>
    <xf numFmtId="2" fontId="0" fillId="0" borderId="0" xfId="1" applyNumberFormat="1" applyFont="1"/>
    <xf numFmtId="0" fontId="10" fillId="14" borderId="12" xfId="11" applyFont="1" applyBorder="1" applyAlignment="1">
      <alignment horizontal="center"/>
    </xf>
    <xf numFmtId="0" fontId="3" fillId="2" borderId="18" xfId="2" applyFont="1" applyBorder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16" xfId="1" applyFont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9" fontId="0" fillId="0" borderId="16" xfId="1" applyFont="1" applyFill="1" applyBorder="1" applyAlignment="1">
      <alignment horizontal="center"/>
    </xf>
    <xf numFmtId="2" fontId="0" fillId="0" borderId="15" xfId="1" applyNumberFormat="1" applyFont="1" applyBorder="1" applyAlignment="1">
      <alignment horizontal="center"/>
    </xf>
    <xf numFmtId="9" fontId="0" fillId="0" borderId="17" xfId="1" applyFon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9" fontId="0" fillId="0" borderId="20" xfId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0" fillId="14" borderId="23" xfId="11" applyFont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2" fontId="5" fillId="0" borderId="25" xfId="0" applyNumberFormat="1" applyFont="1" applyBorder="1" applyAlignment="1">
      <alignment horizontal="center"/>
    </xf>
    <xf numFmtId="2" fontId="5" fillId="0" borderId="26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9" fontId="3" fillId="0" borderId="22" xfId="1" applyFont="1" applyBorder="1" applyAlignment="1">
      <alignment horizontal="center"/>
    </xf>
    <xf numFmtId="9" fontId="3" fillId="0" borderId="16" xfId="1" applyFont="1" applyBorder="1" applyAlignment="1">
      <alignment horizontal="center"/>
    </xf>
    <xf numFmtId="9" fontId="3" fillId="0" borderId="22" xfId="1" applyFont="1" applyFill="1" applyBorder="1" applyAlignment="1">
      <alignment horizontal="center"/>
    </xf>
    <xf numFmtId="0" fontId="10" fillId="14" borderId="11" xfId="11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0" fontId="3" fillId="2" borderId="29" xfId="2" applyFont="1" applyBorder="1" applyAlignment="1">
      <alignment horizontal="center"/>
    </xf>
    <xf numFmtId="0" fontId="3" fillId="2" borderId="6" xfId="2" applyFont="1" applyBorder="1" applyAlignment="1">
      <alignment horizontal="center"/>
    </xf>
    <xf numFmtId="164" fontId="0" fillId="0" borderId="2" xfId="0" applyNumberFormat="1" applyBorder="1"/>
    <xf numFmtId="164" fontId="0" fillId="0" borderId="8" xfId="0" applyNumberFormat="1" applyBorder="1"/>
    <xf numFmtId="0" fontId="0" fillId="0" borderId="12" xfId="0" applyBorder="1"/>
    <xf numFmtId="0" fontId="0" fillId="0" borderId="15" xfId="0" applyBorder="1"/>
    <xf numFmtId="0" fontId="0" fillId="0" borderId="19" xfId="0" applyBorder="1"/>
    <xf numFmtId="0" fontId="0" fillId="0" borderId="34" xfId="0" applyBorder="1"/>
    <xf numFmtId="2" fontId="0" fillId="0" borderId="2" xfId="0" applyNumberFormat="1" applyBorder="1"/>
    <xf numFmtId="2" fontId="0" fillId="0" borderId="21" xfId="0" applyNumberFormat="1" applyBorder="1"/>
    <xf numFmtId="2" fontId="0" fillId="0" borderId="33" xfId="0" applyNumberFormat="1" applyBorder="1"/>
    <xf numFmtId="2" fontId="0" fillId="0" borderId="13" xfId="0" applyNumberFormat="1" applyBorder="1"/>
    <xf numFmtId="2" fontId="0" fillId="0" borderId="31" xfId="0" applyNumberFormat="1" applyBorder="1"/>
    <xf numFmtId="2" fontId="0" fillId="0" borderId="8" xfId="0" applyNumberFormat="1" applyBorder="1"/>
    <xf numFmtId="2" fontId="0" fillId="0" borderId="19" xfId="0" applyNumberFormat="1" applyBorder="1"/>
    <xf numFmtId="2" fontId="0" fillId="0" borderId="34" xfId="0" applyNumberFormat="1" applyBorder="1"/>
    <xf numFmtId="2" fontId="0" fillId="0" borderId="15" xfId="0" applyNumberFormat="1" applyBorder="1"/>
    <xf numFmtId="2" fontId="0" fillId="0" borderId="14" xfId="0" applyNumberFormat="1" applyBorder="1"/>
    <xf numFmtId="2" fontId="0" fillId="0" borderId="32" xfId="0" applyNumberFormat="1" applyBorder="1"/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2" fillId="14" borderId="8" xfId="11" applyBorder="1" applyAlignment="1">
      <alignment horizontal="center" vertical="center"/>
    </xf>
    <xf numFmtId="0" fontId="2" fillId="14" borderId="34" xfId="11" applyBorder="1" applyAlignment="1">
      <alignment horizontal="center" vertical="center"/>
    </xf>
    <xf numFmtId="0" fontId="12" fillId="14" borderId="8" xfId="1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3" fillId="2" borderId="13" xfId="2" applyFont="1" applyBorder="1"/>
    <xf numFmtId="0" fontId="3" fillId="2" borderId="0" xfId="2" applyFont="1" applyBorder="1"/>
    <xf numFmtId="0" fontId="3" fillId="2" borderId="31" xfId="2" applyFont="1" applyBorder="1"/>
    <xf numFmtId="2" fontId="0" fillId="0" borderId="29" xfId="0" applyNumberForma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2" fontId="0" fillId="0" borderId="45" xfId="0" applyNumberFormat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3" fillId="2" borderId="4" xfId="2" applyFont="1" applyBorder="1"/>
    <xf numFmtId="2" fontId="0" fillId="0" borderId="4" xfId="0" applyNumberForma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3" fillId="2" borderId="5" xfId="2" applyFont="1" applyBorder="1"/>
    <xf numFmtId="2" fontId="0" fillId="0" borderId="5" xfId="0" applyNumberFormat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0" fontId="10" fillId="14" borderId="12" xfId="11" applyFont="1" applyBorder="1" applyAlignment="1">
      <alignment horizontal="center" vertical="center"/>
    </xf>
    <xf numFmtId="0" fontId="10" fillId="14" borderId="0" xfId="11" applyFont="1" applyBorder="1" applyAlignment="1">
      <alignment horizontal="center" vertical="center"/>
    </xf>
    <xf numFmtId="0" fontId="10" fillId="14" borderId="48" xfId="11" applyFont="1" applyBorder="1" applyAlignment="1">
      <alignment horizontal="center"/>
    </xf>
    <xf numFmtId="0" fontId="10" fillId="14" borderId="12" xfId="11" applyFont="1" applyBorder="1" applyAlignment="1">
      <alignment horizontal="center"/>
    </xf>
    <xf numFmtId="0" fontId="10" fillId="14" borderId="50" xfId="11" applyFont="1" applyBorder="1" applyAlignment="1">
      <alignment horizontal="center"/>
    </xf>
    <xf numFmtId="0" fontId="10" fillId="14" borderId="30" xfId="11" applyFont="1" applyBorder="1" applyAlignment="1">
      <alignment horizontal="center"/>
    </xf>
    <xf numFmtId="0" fontId="10" fillId="14" borderId="11" xfId="11" applyFont="1" applyBorder="1" applyAlignment="1">
      <alignment horizontal="center"/>
    </xf>
    <xf numFmtId="0" fontId="10" fillId="14" borderId="11" xfId="11" applyFont="1" applyBorder="1" applyAlignment="1">
      <alignment horizontal="center" vertical="center"/>
    </xf>
    <xf numFmtId="0" fontId="10" fillId="14" borderId="13" xfId="1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2" fontId="0" fillId="0" borderId="29" xfId="0" applyNumberForma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1" xfId="2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0" fontId="5" fillId="0" borderId="19" xfId="2" applyFont="1" applyFill="1" applyBorder="1" applyAlignment="1">
      <alignment horizontal="center" vertical="center"/>
    </xf>
    <xf numFmtId="0" fontId="5" fillId="0" borderId="14" xfId="2" applyFont="1" applyFill="1" applyBorder="1" applyAlignment="1">
      <alignment horizontal="center" vertical="center"/>
    </xf>
    <xf numFmtId="0" fontId="2" fillId="14" borderId="38" xfId="11" applyBorder="1" applyAlignment="1">
      <alignment horizontal="center"/>
    </xf>
    <xf numFmtId="0" fontId="2" fillId="14" borderId="39" xfId="11" applyBorder="1" applyAlignment="1">
      <alignment horizontal="center"/>
    </xf>
    <xf numFmtId="0" fontId="2" fillId="14" borderId="40" xfId="11" applyBorder="1" applyAlignment="1">
      <alignment horizontal="center"/>
    </xf>
    <xf numFmtId="0" fontId="3" fillId="2" borderId="0" xfId="2" applyFont="1" applyBorder="1" applyAlignment="1">
      <alignment horizontal="center" vertical="center"/>
    </xf>
    <xf numFmtId="0" fontId="3" fillId="2" borderId="5" xfId="2" applyFont="1" applyBorder="1" applyAlignment="1">
      <alignment horizontal="center" vertical="center"/>
    </xf>
    <xf numFmtId="0" fontId="3" fillId="2" borderId="31" xfId="2" applyFont="1" applyBorder="1" applyAlignment="1">
      <alignment horizontal="center" vertical="center"/>
    </xf>
    <xf numFmtId="0" fontId="5" fillId="15" borderId="44" xfId="12" applyFont="1" applyBorder="1" applyAlignment="1">
      <alignment horizontal="center" vertical="center"/>
    </xf>
    <xf numFmtId="0" fontId="5" fillId="15" borderId="14" xfId="12" applyFont="1" applyBorder="1" applyAlignment="1">
      <alignment horizontal="center" vertical="center"/>
    </xf>
    <xf numFmtId="0" fontId="10" fillId="14" borderId="48" xfId="11" applyFont="1" applyBorder="1" applyAlignment="1">
      <alignment horizontal="center" vertical="center"/>
    </xf>
    <xf numFmtId="0" fontId="10" fillId="14" borderId="50" xfId="11" applyFont="1" applyBorder="1" applyAlignment="1">
      <alignment horizontal="center" vertical="center"/>
    </xf>
    <xf numFmtId="0" fontId="10" fillId="14" borderId="30" xfId="11" applyFont="1" applyBorder="1" applyAlignment="1">
      <alignment horizontal="center" vertical="center"/>
    </xf>
    <xf numFmtId="0" fontId="3" fillId="2" borderId="4" xfId="2" applyFont="1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0" fontId="15" fillId="14" borderId="11" xfId="11" applyFont="1" applyBorder="1" applyAlignment="1">
      <alignment horizontal="center" vertical="center" wrapText="1"/>
    </xf>
    <xf numFmtId="0" fontId="15" fillId="14" borderId="13" xfId="1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3">
    <cellStyle name="20% - Accent1" xfId="2" builtinId="30"/>
    <cellStyle name="20% - Accent2" xfId="3" builtinId="34"/>
    <cellStyle name="20% - Accent5" xfId="6" builtinId="46"/>
    <cellStyle name="40% - Accent1" xfId="12" builtinId="31"/>
    <cellStyle name="60% - Accent3" xfId="4" builtinId="40"/>
    <cellStyle name="60% - Accent5" xfId="7" builtinId="48"/>
    <cellStyle name="Accent1" xfId="11" builtinId="29"/>
    <cellStyle name="Accent5" xfId="5" builtinId="45"/>
    <cellStyle name="Normal" xfId="0" builtinId="0"/>
    <cellStyle name="Percent" xfId="1" builtinId="5"/>
    <cellStyle name="Style 1" xfId="10" xr:uid="{94CF1F5F-D8C5-D240-93C1-BC6918F88401}"/>
    <cellStyle name="Style 2" xfId="8" xr:uid="{238ED21A-2A96-194F-9DD7-6AD6C1247214}"/>
    <cellStyle name="Style 3" xfId="9" xr:uid="{16CDC27F-8303-134C-B633-ABFEAA56B37C}"/>
  </cellStyles>
  <dxfs count="24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7746-D7B0-2B4D-A9A9-5C9B523EC5E7}">
  <dimension ref="C4:AF36"/>
  <sheetViews>
    <sheetView showGridLines="0" zoomScale="75" workbookViewId="0">
      <selection activeCell="R19" sqref="R19"/>
    </sheetView>
  </sheetViews>
  <sheetFormatPr baseColWidth="10" defaultRowHeight="16" outlineLevelCol="1" x14ac:dyDescent="0.2"/>
  <cols>
    <col min="3" max="3" width="6" bestFit="1" customWidth="1"/>
    <col min="4" max="4" width="7.6640625" bestFit="1" customWidth="1"/>
    <col min="5" max="5" width="8.1640625" bestFit="1" customWidth="1"/>
    <col min="6" max="6" width="10.33203125" bestFit="1" customWidth="1"/>
    <col min="7" max="7" width="8.1640625" bestFit="1" customWidth="1"/>
    <col min="8" max="8" width="8.6640625" bestFit="1" customWidth="1"/>
    <col min="9" max="9" width="8.1640625" bestFit="1" customWidth="1"/>
    <col min="10" max="10" width="8.33203125" bestFit="1" customWidth="1"/>
    <col min="11" max="11" width="8.1640625" bestFit="1" customWidth="1"/>
    <col min="12" max="12" width="8.6640625" bestFit="1" customWidth="1"/>
    <col min="13" max="13" width="8.1640625" bestFit="1" customWidth="1"/>
    <col min="14" max="14" width="8.6640625" bestFit="1" customWidth="1"/>
    <col min="15" max="15" width="8.1640625" bestFit="1" customWidth="1"/>
    <col min="16" max="16" width="8.33203125" bestFit="1" customWidth="1"/>
    <col min="17" max="17" width="4.6640625" bestFit="1" customWidth="1"/>
    <col min="18" max="18" width="6.1640625" bestFit="1" customWidth="1"/>
    <col min="19" max="19" width="6.33203125" bestFit="1" customWidth="1"/>
    <col min="20" max="32" width="8.6640625" customWidth="1" outlineLevel="1"/>
  </cols>
  <sheetData>
    <row r="4" spans="3:32" ht="17" thickBot="1" x14ac:dyDescent="0.25"/>
    <row r="5" spans="3:32" ht="17" thickBot="1" x14ac:dyDescent="0.25">
      <c r="C5" s="164" t="s">
        <v>24</v>
      </c>
      <c r="D5" s="83"/>
      <c r="E5" s="83"/>
      <c r="F5" s="83"/>
      <c r="G5" s="161" t="s">
        <v>7</v>
      </c>
      <c r="H5" s="162"/>
      <c r="I5" s="162"/>
      <c r="J5" s="163"/>
      <c r="K5" s="161" t="s">
        <v>25</v>
      </c>
      <c r="L5" s="162"/>
      <c r="M5" s="162"/>
      <c r="N5" s="163"/>
      <c r="Q5" s="158" t="s">
        <v>24</v>
      </c>
      <c r="R5" s="159"/>
      <c r="S5" s="159"/>
      <c r="T5" s="160"/>
    </row>
    <row r="6" spans="3:32" ht="17" thickTop="1" x14ac:dyDescent="0.2">
      <c r="C6" s="147"/>
      <c r="D6" s="22" t="s">
        <v>27</v>
      </c>
      <c r="E6" s="22" t="s">
        <v>8</v>
      </c>
      <c r="F6" s="22" t="s">
        <v>28</v>
      </c>
      <c r="G6" s="85" t="s">
        <v>30</v>
      </c>
      <c r="H6" s="22" t="s">
        <v>31</v>
      </c>
      <c r="I6" s="22" t="s">
        <v>32</v>
      </c>
      <c r="J6" s="86" t="s">
        <v>33</v>
      </c>
      <c r="K6" s="85" t="s">
        <v>30</v>
      </c>
      <c r="L6" s="22" t="s">
        <v>31</v>
      </c>
      <c r="M6" s="22" t="s">
        <v>32</v>
      </c>
      <c r="N6" s="86" t="s">
        <v>33</v>
      </c>
      <c r="Q6" s="111"/>
      <c r="R6" s="114" t="s">
        <v>57</v>
      </c>
      <c r="S6" s="112" t="s">
        <v>8</v>
      </c>
      <c r="T6" s="113" t="s">
        <v>54</v>
      </c>
      <c r="W6" s="143" t="s">
        <v>8</v>
      </c>
      <c r="X6" s="136" t="s">
        <v>28</v>
      </c>
      <c r="Y6" s="142" t="s">
        <v>7</v>
      </c>
      <c r="Z6" s="139"/>
      <c r="AA6" s="139"/>
      <c r="AB6" s="141"/>
      <c r="AC6" s="139" t="s">
        <v>25</v>
      </c>
      <c r="AD6" s="139"/>
      <c r="AE6" s="139"/>
      <c r="AF6" s="141"/>
    </row>
    <row r="7" spans="3:32" x14ac:dyDescent="0.2">
      <c r="C7" s="145" t="s">
        <v>34</v>
      </c>
      <c r="D7" s="19">
        <v>5</v>
      </c>
      <c r="E7" s="87">
        <v>15.254192595717761</v>
      </c>
      <c r="F7" s="87">
        <v>3683.1</v>
      </c>
      <c r="G7" s="88">
        <v>9.4008099018508648</v>
      </c>
      <c r="H7" s="87">
        <v>90.433999999999997</v>
      </c>
      <c r="I7" s="87">
        <v>61.914000000000001</v>
      </c>
      <c r="J7" s="89">
        <v>25.579000000000001</v>
      </c>
      <c r="K7" s="88">
        <v>34.681204514291728</v>
      </c>
      <c r="L7" s="87">
        <v>71.361000000000004</v>
      </c>
      <c r="M7" s="87">
        <v>63.501999999999995</v>
      </c>
      <c r="N7" s="89">
        <v>56.037999999999997</v>
      </c>
      <c r="Q7" s="145" t="s">
        <v>34</v>
      </c>
      <c r="R7" s="98">
        <v>5</v>
      </c>
      <c r="S7" s="99">
        <v>15.254192595717761</v>
      </c>
      <c r="T7" s="100">
        <v>3683.1</v>
      </c>
      <c r="W7" s="144"/>
      <c r="X7" s="137"/>
      <c r="Y7" s="118" t="s">
        <v>30</v>
      </c>
      <c r="Z7" s="119" t="s">
        <v>31</v>
      </c>
      <c r="AA7" s="119" t="s">
        <v>32</v>
      </c>
      <c r="AB7" s="120" t="s">
        <v>33</v>
      </c>
      <c r="AC7" s="119" t="s">
        <v>30</v>
      </c>
      <c r="AD7" s="119" t="s">
        <v>31</v>
      </c>
      <c r="AE7" s="119" t="s">
        <v>32</v>
      </c>
      <c r="AF7" s="120" t="s">
        <v>33</v>
      </c>
    </row>
    <row r="8" spans="3:32" x14ac:dyDescent="0.2">
      <c r="C8" s="146"/>
      <c r="D8">
        <v>10</v>
      </c>
      <c r="E8" s="13">
        <v>15.630462909008314</v>
      </c>
      <c r="F8" s="13">
        <v>1958.5</v>
      </c>
      <c r="G8" s="90">
        <v>4.0667251975417074</v>
      </c>
      <c r="H8" s="13">
        <v>92.463999999999999</v>
      </c>
      <c r="I8" s="13">
        <v>63.092000000000006</v>
      </c>
      <c r="J8" s="91">
        <v>25.68</v>
      </c>
      <c r="K8" s="90">
        <v>49.842470691647492</v>
      </c>
      <c r="L8" s="13">
        <v>58.003</v>
      </c>
      <c r="M8" s="13">
        <v>52.972500000000004</v>
      </c>
      <c r="N8" s="91">
        <v>54.278999999999996</v>
      </c>
      <c r="Q8" s="146"/>
      <c r="R8" s="101">
        <v>10</v>
      </c>
      <c r="S8" s="102">
        <v>15.630462909008314</v>
      </c>
      <c r="T8" s="103">
        <v>1958.5</v>
      </c>
      <c r="W8" s="152" t="s">
        <v>59</v>
      </c>
      <c r="X8" s="153"/>
      <c r="Y8" s="153"/>
      <c r="Z8" s="153"/>
      <c r="AA8" s="153"/>
      <c r="AB8" s="153"/>
      <c r="AC8" s="153"/>
      <c r="AD8" s="153"/>
      <c r="AE8" s="153"/>
      <c r="AF8" s="154"/>
    </row>
    <row r="9" spans="3:32" x14ac:dyDescent="0.2">
      <c r="C9" s="146"/>
      <c r="D9">
        <v>20</v>
      </c>
      <c r="E9" s="13">
        <v>0.16622753949321403</v>
      </c>
      <c r="F9" s="13">
        <v>3000.4259999999999</v>
      </c>
      <c r="G9" s="90">
        <v>8.8326574994902636</v>
      </c>
      <c r="H9" s="13">
        <v>89.702999999999989</v>
      </c>
      <c r="I9" s="13">
        <v>62.395999999999994</v>
      </c>
      <c r="J9" s="91">
        <v>27.905000000000001</v>
      </c>
      <c r="K9" s="90">
        <v>40.673730394762153</v>
      </c>
      <c r="L9" s="13">
        <v>74.536000000000001</v>
      </c>
      <c r="M9" s="13">
        <v>59.699000000000012</v>
      </c>
      <c r="N9" s="91">
        <v>49.809000000000005</v>
      </c>
      <c r="Q9" s="146"/>
      <c r="R9" s="101">
        <v>20</v>
      </c>
      <c r="S9" s="102">
        <v>0.16622753949321403</v>
      </c>
      <c r="T9" s="103">
        <v>3000.4259999999999</v>
      </c>
      <c r="W9" s="116">
        <v>43.78906817851432</v>
      </c>
      <c r="X9" s="103">
        <v>8.66614E-2</v>
      </c>
      <c r="Y9" s="102">
        <v>0.20219891318083738</v>
      </c>
      <c r="Z9" s="102">
        <v>99.8</v>
      </c>
      <c r="AA9" s="102">
        <v>72.548000000000002</v>
      </c>
      <c r="AB9" s="103">
        <v>1.05</v>
      </c>
      <c r="AC9" s="102">
        <v>5.1206570722488705</v>
      </c>
      <c r="AD9" s="102">
        <v>81.556000000000012</v>
      </c>
      <c r="AE9" s="102">
        <v>90.464000000000013</v>
      </c>
      <c r="AF9" s="103">
        <v>53.455999999999996</v>
      </c>
    </row>
    <row r="10" spans="3:32" x14ac:dyDescent="0.2">
      <c r="C10" s="147"/>
      <c r="D10" s="22">
        <v>40</v>
      </c>
      <c r="E10" s="92">
        <v>2.4981648008808923</v>
      </c>
      <c r="F10" s="92">
        <v>3324</v>
      </c>
      <c r="G10" s="93">
        <v>10.705892885118947</v>
      </c>
      <c r="H10" s="92">
        <v>88.495000000000005</v>
      </c>
      <c r="I10" s="92">
        <v>62.065000000000012</v>
      </c>
      <c r="J10" s="94">
        <v>27.024000000000001</v>
      </c>
      <c r="K10" s="93">
        <v>40.103688750229395</v>
      </c>
      <c r="L10" s="92">
        <v>89.109999999999985</v>
      </c>
      <c r="M10" s="92">
        <v>56.036999999999999</v>
      </c>
      <c r="N10" s="94">
        <v>26.884000000000004</v>
      </c>
      <c r="Q10" s="147"/>
      <c r="R10" s="104">
        <v>40</v>
      </c>
      <c r="S10" s="105">
        <v>2.4981648008808923</v>
      </c>
      <c r="T10" s="106">
        <v>3324</v>
      </c>
      <c r="W10" s="155" t="s">
        <v>60</v>
      </c>
      <c r="X10" s="156"/>
      <c r="Y10" s="156"/>
      <c r="Z10" s="156"/>
      <c r="AA10" s="156"/>
      <c r="AB10" s="156"/>
      <c r="AC10" s="156"/>
      <c r="AD10" s="156"/>
      <c r="AE10" s="156"/>
      <c r="AF10" s="157"/>
    </row>
    <row r="11" spans="3:32" x14ac:dyDescent="0.2">
      <c r="C11" s="145" t="s">
        <v>36</v>
      </c>
      <c r="D11" s="19">
        <v>5</v>
      </c>
      <c r="E11" s="87">
        <v>1.3223030349186831</v>
      </c>
      <c r="F11" s="87">
        <v>2043.4</v>
      </c>
      <c r="G11" s="88">
        <v>19.463888079824848</v>
      </c>
      <c r="H11" s="87">
        <v>93.008999999999986</v>
      </c>
      <c r="I11" s="87">
        <v>67.712999999999994</v>
      </c>
      <c r="J11" s="89">
        <v>28.567999999999994</v>
      </c>
      <c r="K11" s="88">
        <v>42.772552454209674</v>
      </c>
      <c r="L11" s="87">
        <v>72.123999999999995</v>
      </c>
      <c r="M11" s="87">
        <v>61.18333333333333</v>
      </c>
      <c r="N11" s="89">
        <v>50.939</v>
      </c>
      <c r="Q11" s="145" t="s">
        <v>36</v>
      </c>
      <c r="R11" s="98">
        <v>5</v>
      </c>
      <c r="S11" s="99">
        <v>1.3223030349186831</v>
      </c>
      <c r="T11" s="100">
        <v>2043.4</v>
      </c>
      <c r="W11" s="116">
        <v>32.811974436596024</v>
      </c>
      <c r="X11" s="103">
        <v>0.127162</v>
      </c>
      <c r="Y11" s="102">
        <v>0</v>
      </c>
      <c r="Z11" s="102">
        <v>100</v>
      </c>
      <c r="AA11" s="102">
        <v>71.358000000000004</v>
      </c>
      <c r="AB11" s="103" t="s">
        <v>52</v>
      </c>
      <c r="AC11" s="102">
        <v>12.889337369660266</v>
      </c>
      <c r="AD11" s="102">
        <v>80.919999999999987</v>
      </c>
      <c r="AE11" s="102">
        <v>85.281999999999996</v>
      </c>
      <c r="AF11" s="103">
        <v>50.866</v>
      </c>
    </row>
    <row r="12" spans="3:32" x14ac:dyDescent="0.2">
      <c r="C12" s="146"/>
      <c r="D12">
        <v>10</v>
      </c>
      <c r="E12" s="13">
        <v>5.2861447261235508</v>
      </c>
      <c r="F12" s="13">
        <v>1541</v>
      </c>
      <c r="G12" s="90">
        <v>2.0424143556280474</v>
      </c>
      <c r="H12" s="13">
        <v>92.287999999999997</v>
      </c>
      <c r="I12" s="13">
        <v>69.372</v>
      </c>
      <c r="J12" s="91">
        <v>29.945999999999998</v>
      </c>
      <c r="K12" s="90">
        <v>35.042055570277448</v>
      </c>
      <c r="L12" s="13">
        <v>76.676999999999992</v>
      </c>
      <c r="M12" s="13">
        <v>65.114999999999995</v>
      </c>
      <c r="N12" s="91">
        <v>49.045000000000002</v>
      </c>
      <c r="Q12" s="146"/>
      <c r="R12" s="101">
        <v>10</v>
      </c>
      <c r="S12" s="102">
        <v>5.2861447261235508</v>
      </c>
      <c r="T12" s="103">
        <v>1541</v>
      </c>
      <c r="W12" s="155" t="s">
        <v>61</v>
      </c>
      <c r="X12" s="156"/>
      <c r="Y12" s="156"/>
      <c r="Z12" s="156"/>
      <c r="AA12" s="156"/>
      <c r="AB12" s="156"/>
      <c r="AC12" s="156"/>
      <c r="AD12" s="156"/>
      <c r="AE12" s="156"/>
      <c r="AF12" s="157"/>
    </row>
    <row r="13" spans="3:32" ht="17" thickBot="1" x14ac:dyDescent="0.25">
      <c r="C13" s="146"/>
      <c r="D13">
        <v>20</v>
      </c>
      <c r="E13" s="13">
        <v>3.3198694184709769E-2</v>
      </c>
      <c r="F13" s="13">
        <v>1840.9</v>
      </c>
      <c r="G13" s="90">
        <v>3.9373490421667872</v>
      </c>
      <c r="H13" s="13">
        <v>91.272000000000006</v>
      </c>
      <c r="I13" s="13">
        <v>68.421000000000006</v>
      </c>
      <c r="J13" s="91">
        <v>32.177000000000007</v>
      </c>
      <c r="K13" s="90">
        <v>41.479924011877756</v>
      </c>
      <c r="L13" s="13">
        <v>89.876000000000005</v>
      </c>
      <c r="M13" s="13">
        <v>58.529000000000011</v>
      </c>
      <c r="N13" s="91">
        <v>29.456</v>
      </c>
      <c r="Q13" s="146"/>
      <c r="R13" s="101">
        <v>20</v>
      </c>
      <c r="S13" s="102">
        <v>3.3198694184709769E-2</v>
      </c>
      <c r="T13" s="103">
        <v>1840.9</v>
      </c>
      <c r="W13" s="117">
        <v>2.4981648008808923</v>
      </c>
      <c r="X13" s="109">
        <v>3324</v>
      </c>
      <c r="Y13" s="108">
        <v>10.705892885118947</v>
      </c>
      <c r="Z13" s="108">
        <v>88.495000000000005</v>
      </c>
      <c r="AA13" s="108">
        <v>62.065000000000012</v>
      </c>
      <c r="AB13" s="109">
        <v>27.024000000000001</v>
      </c>
      <c r="AC13" s="108">
        <v>40.103688750229395</v>
      </c>
      <c r="AD13" s="108">
        <v>89.109999999999985</v>
      </c>
      <c r="AE13" s="108">
        <v>56.036999999999999</v>
      </c>
      <c r="AF13" s="109">
        <v>26.884000000000004</v>
      </c>
    </row>
    <row r="14" spans="3:32" x14ac:dyDescent="0.2">
      <c r="C14" s="147"/>
      <c r="D14" s="22">
        <v>40</v>
      </c>
      <c r="E14" s="92">
        <v>10.276810551092279</v>
      </c>
      <c r="F14" s="92">
        <v>3317</v>
      </c>
      <c r="G14" s="93">
        <v>11.377668019050983</v>
      </c>
      <c r="H14" s="92">
        <v>87.565000000000012</v>
      </c>
      <c r="I14" s="92">
        <v>67.073000000000008</v>
      </c>
      <c r="J14" s="94">
        <v>27.975000000000001</v>
      </c>
      <c r="K14" s="93">
        <v>37.932577275468326</v>
      </c>
      <c r="L14" s="92">
        <v>89.55</v>
      </c>
      <c r="M14" s="92">
        <v>59.355000000000004</v>
      </c>
      <c r="N14" s="94">
        <v>26.858000000000004</v>
      </c>
      <c r="Q14" s="147"/>
      <c r="R14" s="104">
        <v>40</v>
      </c>
      <c r="S14" s="105">
        <v>10.276810551092279</v>
      </c>
      <c r="T14" s="106">
        <v>3317</v>
      </c>
    </row>
    <row r="15" spans="3:32" x14ac:dyDescent="0.2">
      <c r="C15" s="146" t="s">
        <v>38</v>
      </c>
      <c r="D15">
        <v>5</v>
      </c>
      <c r="E15" s="13">
        <v>2.3683893506806166</v>
      </c>
      <c r="F15" s="13">
        <v>1351.5</v>
      </c>
      <c r="G15" s="90">
        <v>2.5991652545032231</v>
      </c>
      <c r="H15" s="13">
        <v>91.561000000000007</v>
      </c>
      <c r="I15" s="13">
        <v>65.926999999999992</v>
      </c>
      <c r="J15" s="91">
        <v>29.620000000000005</v>
      </c>
      <c r="K15" s="90">
        <v>26.420913142994834</v>
      </c>
      <c r="L15" s="13">
        <v>76.171999999999997</v>
      </c>
      <c r="M15" s="13">
        <v>66.545000000000002</v>
      </c>
      <c r="N15" s="91">
        <v>52.326000000000001</v>
      </c>
      <c r="Q15" s="146" t="s">
        <v>38</v>
      </c>
      <c r="R15" s="101">
        <v>5</v>
      </c>
      <c r="S15" s="102">
        <v>2.3683893506806166</v>
      </c>
      <c r="T15" s="103">
        <v>1351.5</v>
      </c>
    </row>
    <row r="16" spans="3:32" x14ac:dyDescent="0.2">
      <c r="C16" s="146"/>
      <c r="D16">
        <v>10</v>
      </c>
      <c r="E16" s="13">
        <v>10.093234851498838</v>
      </c>
      <c r="F16" s="13">
        <v>1562.1</v>
      </c>
      <c r="G16" s="90">
        <v>3.4134116833736488</v>
      </c>
      <c r="H16" s="13">
        <v>91.734000000000009</v>
      </c>
      <c r="I16" s="13">
        <v>65.387999999999991</v>
      </c>
      <c r="J16" s="91">
        <v>28.614000000000004</v>
      </c>
      <c r="K16" s="90">
        <v>36.918579509089959</v>
      </c>
      <c r="L16" s="13">
        <v>80.744</v>
      </c>
      <c r="M16" s="13">
        <v>63.20300000000001</v>
      </c>
      <c r="N16" s="91">
        <v>46.972000000000001</v>
      </c>
      <c r="Q16" s="146"/>
      <c r="R16" s="101">
        <v>10</v>
      </c>
      <c r="S16" s="102">
        <v>10.093234851498838</v>
      </c>
      <c r="T16" s="103">
        <v>1562.1</v>
      </c>
    </row>
    <row r="17" spans="3:32" x14ac:dyDescent="0.2">
      <c r="C17" s="146"/>
      <c r="D17">
        <v>20</v>
      </c>
      <c r="E17" s="13">
        <v>2.4305922492791248</v>
      </c>
      <c r="F17" s="13">
        <v>3858.4</v>
      </c>
      <c r="G17" s="90">
        <v>12.706156317705485</v>
      </c>
      <c r="H17" s="13">
        <v>86.15</v>
      </c>
      <c r="I17" s="13">
        <v>65.28</v>
      </c>
      <c r="J17" s="91">
        <v>31.107000000000006</v>
      </c>
      <c r="K17" s="90">
        <v>38.888721146152569</v>
      </c>
      <c r="L17" s="13">
        <v>85.201000000000008</v>
      </c>
      <c r="M17" s="13">
        <v>59.547000000000011</v>
      </c>
      <c r="N17" s="91">
        <v>35.137999999999998</v>
      </c>
      <c r="Q17" s="146"/>
      <c r="R17" s="101">
        <v>20</v>
      </c>
      <c r="S17" s="102">
        <v>2.4305922492791248</v>
      </c>
      <c r="T17" s="103">
        <v>3858.4</v>
      </c>
    </row>
    <row r="18" spans="3:32" ht="17" thickBot="1" x14ac:dyDescent="0.25">
      <c r="C18" s="148"/>
      <c r="D18" s="84">
        <v>40</v>
      </c>
      <c r="E18" s="95">
        <v>8.3136804831452</v>
      </c>
      <c r="F18" s="95">
        <v>1505.8130000000001</v>
      </c>
      <c r="G18" s="96">
        <v>1.5532335498446741</v>
      </c>
      <c r="H18" s="95">
        <v>89.146000000000001</v>
      </c>
      <c r="I18" s="95">
        <v>64.835999999999984</v>
      </c>
      <c r="J18" s="97">
        <v>30.014000000000003</v>
      </c>
      <c r="K18" s="96">
        <v>31.904798561201414</v>
      </c>
      <c r="L18" s="95">
        <v>87.753000000000014</v>
      </c>
      <c r="M18" s="95">
        <v>60.375</v>
      </c>
      <c r="N18" s="97">
        <v>29.625</v>
      </c>
      <c r="Q18" s="148"/>
      <c r="R18" s="107">
        <v>40</v>
      </c>
      <c r="S18" s="108">
        <v>8.3136804831452</v>
      </c>
      <c r="T18" s="109">
        <v>1505.8130000000001</v>
      </c>
    </row>
    <row r="21" spans="3:32" ht="17" thickBot="1" x14ac:dyDescent="0.25"/>
    <row r="22" spans="3:32" ht="17" thickBot="1" x14ac:dyDescent="0.25">
      <c r="C22" s="149" t="s">
        <v>55</v>
      </c>
      <c r="D22" s="150"/>
      <c r="E22" s="150"/>
      <c r="F22" s="150"/>
      <c r="G22" s="150"/>
      <c r="H22" s="151"/>
      <c r="K22" s="149" t="s">
        <v>55</v>
      </c>
      <c r="L22" s="150"/>
      <c r="M22" s="150"/>
      <c r="N22" s="150"/>
      <c r="O22" s="150"/>
      <c r="P22" s="151"/>
      <c r="V22" s="193" t="s">
        <v>62</v>
      </c>
      <c r="W22" s="136" t="s">
        <v>8</v>
      </c>
      <c r="X22" s="136" t="s">
        <v>54</v>
      </c>
      <c r="Y22" s="138" t="s">
        <v>7</v>
      </c>
      <c r="Z22" s="139"/>
      <c r="AA22" s="139"/>
      <c r="AB22" s="140"/>
      <c r="AC22" s="139" t="s">
        <v>25</v>
      </c>
      <c r="AD22" s="139"/>
      <c r="AE22" s="139"/>
      <c r="AF22" s="141"/>
    </row>
    <row r="23" spans="3:32" ht="17" thickTop="1" x14ac:dyDescent="0.2">
      <c r="C23" s="179" t="s">
        <v>7</v>
      </c>
      <c r="D23" s="180"/>
      <c r="E23" s="180"/>
      <c r="F23" s="180"/>
      <c r="G23" s="180"/>
      <c r="H23" s="181"/>
      <c r="K23" s="179" t="s">
        <v>56</v>
      </c>
      <c r="L23" s="180"/>
      <c r="M23" s="180" t="s">
        <v>25</v>
      </c>
      <c r="N23" s="180"/>
      <c r="O23" s="180"/>
      <c r="P23" s="181"/>
      <c r="V23" s="194"/>
      <c r="W23" s="137"/>
      <c r="X23" s="137"/>
      <c r="Y23" s="130" t="s">
        <v>30</v>
      </c>
      <c r="Z23" s="119" t="s">
        <v>31</v>
      </c>
      <c r="AA23" s="119" t="s">
        <v>32</v>
      </c>
      <c r="AB23" s="133" t="s">
        <v>33</v>
      </c>
      <c r="AC23" s="119" t="s">
        <v>30</v>
      </c>
      <c r="AD23" s="119" t="s">
        <v>31</v>
      </c>
      <c r="AE23" s="119" t="s">
        <v>32</v>
      </c>
      <c r="AF23" s="120" t="s">
        <v>33</v>
      </c>
    </row>
    <row r="24" spans="3:32" ht="17" customHeight="1" x14ac:dyDescent="0.2">
      <c r="C24" s="111"/>
      <c r="D24" s="115" t="s">
        <v>58</v>
      </c>
      <c r="E24" s="104" t="s">
        <v>30</v>
      </c>
      <c r="F24" s="104" t="s">
        <v>31</v>
      </c>
      <c r="G24" s="104" t="s">
        <v>32</v>
      </c>
      <c r="H24" s="110" t="s">
        <v>33</v>
      </c>
      <c r="K24" s="111"/>
      <c r="L24" s="115" t="s">
        <v>58</v>
      </c>
      <c r="M24" s="104" t="s">
        <v>30</v>
      </c>
      <c r="N24" s="104" t="s">
        <v>31</v>
      </c>
      <c r="O24" s="104" t="s">
        <v>32</v>
      </c>
      <c r="P24" s="110" t="s">
        <v>33</v>
      </c>
      <c r="V24" s="126" t="s">
        <v>59</v>
      </c>
      <c r="W24" s="122">
        <v>43.78906817851432</v>
      </c>
      <c r="X24" s="122">
        <v>8.66614E-2</v>
      </c>
      <c r="Y24" s="121">
        <v>0.20219891318083738</v>
      </c>
      <c r="Z24" s="122">
        <v>99.8</v>
      </c>
      <c r="AA24" s="122">
        <v>72.548000000000002</v>
      </c>
      <c r="AB24" s="123">
        <v>1.05</v>
      </c>
      <c r="AC24" s="122">
        <v>5.1206570722488705</v>
      </c>
      <c r="AD24" s="122">
        <v>81.556000000000012</v>
      </c>
      <c r="AE24" s="122">
        <v>90.464000000000013</v>
      </c>
      <c r="AF24" s="127">
        <v>53.455999999999996</v>
      </c>
    </row>
    <row r="25" spans="3:32" ht="17" customHeight="1" x14ac:dyDescent="0.2">
      <c r="C25" s="145" t="s">
        <v>34</v>
      </c>
      <c r="D25" s="98">
        <v>5</v>
      </c>
      <c r="E25" s="99">
        <v>9.4008099018508648</v>
      </c>
      <c r="F25" s="99">
        <v>90.433999999999997</v>
      </c>
      <c r="G25" s="99">
        <v>61.914000000000001</v>
      </c>
      <c r="H25" s="100">
        <v>25.579000000000001</v>
      </c>
      <c r="K25" s="145" t="s">
        <v>34</v>
      </c>
      <c r="L25" s="98">
        <v>5</v>
      </c>
      <c r="M25" s="99">
        <v>34.681204514291728</v>
      </c>
      <c r="N25" s="99">
        <v>71.361000000000004</v>
      </c>
      <c r="O25" s="99">
        <v>63.501999999999995</v>
      </c>
      <c r="P25" s="100">
        <v>56.037999999999997</v>
      </c>
      <c r="V25" s="125" t="s">
        <v>60</v>
      </c>
      <c r="W25" s="102">
        <v>32.811974436596024</v>
      </c>
      <c r="X25" s="102">
        <v>0.127162</v>
      </c>
      <c r="Y25" s="131">
        <v>0</v>
      </c>
      <c r="Z25" s="102">
        <v>100</v>
      </c>
      <c r="AA25" s="102">
        <v>71.358000000000004</v>
      </c>
      <c r="AB25" s="134" t="s">
        <v>52</v>
      </c>
      <c r="AC25" s="102">
        <v>12.889337369660266</v>
      </c>
      <c r="AD25" s="102">
        <v>80.919999999999987</v>
      </c>
      <c r="AE25" s="102">
        <v>85.281999999999996</v>
      </c>
      <c r="AF25" s="103">
        <v>50.866</v>
      </c>
    </row>
    <row r="26" spans="3:32" ht="17" customHeight="1" thickBot="1" x14ac:dyDescent="0.25">
      <c r="C26" s="146"/>
      <c r="D26" s="101">
        <v>10</v>
      </c>
      <c r="E26" s="102">
        <v>4.0667251975417074</v>
      </c>
      <c r="F26" s="102">
        <v>92.463999999999999</v>
      </c>
      <c r="G26" s="102">
        <v>63.092000000000006</v>
      </c>
      <c r="H26" s="103">
        <v>25.68</v>
      </c>
      <c r="K26" s="146"/>
      <c r="L26" s="101">
        <v>10</v>
      </c>
      <c r="M26" s="102">
        <v>49.842470691647492</v>
      </c>
      <c r="N26" s="102">
        <v>58.003</v>
      </c>
      <c r="O26" s="102">
        <v>52.972500000000004</v>
      </c>
      <c r="P26" s="103">
        <v>54.278999999999996</v>
      </c>
      <c r="V26" s="124" t="s">
        <v>61</v>
      </c>
      <c r="W26" s="128">
        <v>2.4981648008808923</v>
      </c>
      <c r="X26" s="128">
        <v>3324</v>
      </c>
      <c r="Y26" s="132">
        <v>10.705892885118947</v>
      </c>
      <c r="Z26" s="128">
        <v>88.495000000000005</v>
      </c>
      <c r="AA26" s="128">
        <v>62.065000000000012</v>
      </c>
      <c r="AB26" s="135">
        <v>27.024000000000001</v>
      </c>
      <c r="AC26" s="128">
        <v>40.103688750229395</v>
      </c>
      <c r="AD26" s="128">
        <v>89.109999999999985</v>
      </c>
      <c r="AE26" s="128">
        <v>56.036999999999999</v>
      </c>
      <c r="AF26" s="129">
        <v>26.884000000000004</v>
      </c>
    </row>
    <row r="27" spans="3:32" ht="17" customHeight="1" x14ac:dyDescent="0.2">
      <c r="C27" s="146"/>
      <c r="D27" s="101">
        <v>20</v>
      </c>
      <c r="E27" s="102">
        <v>8.8326574994902636</v>
      </c>
      <c r="F27" s="102">
        <v>89.702999999999989</v>
      </c>
      <c r="G27" s="102">
        <v>62.395999999999994</v>
      </c>
      <c r="H27" s="103">
        <v>27.905000000000001</v>
      </c>
      <c r="K27" s="146"/>
      <c r="L27" s="101">
        <v>20</v>
      </c>
      <c r="M27" s="102">
        <v>40.673730394762153</v>
      </c>
      <c r="N27" s="102">
        <v>74.536000000000001</v>
      </c>
      <c r="O27" s="102">
        <v>59.699000000000012</v>
      </c>
      <c r="P27" s="103">
        <v>49.809000000000005</v>
      </c>
    </row>
    <row r="28" spans="3:32" ht="17" customHeight="1" x14ac:dyDescent="0.2">
      <c r="C28" s="147"/>
      <c r="D28" s="104">
        <v>40</v>
      </c>
      <c r="E28" s="105">
        <v>10.705892885118947</v>
      </c>
      <c r="F28" s="105">
        <v>88.495000000000005</v>
      </c>
      <c r="G28" s="105">
        <v>62.065000000000012</v>
      </c>
      <c r="H28" s="106">
        <v>27.024000000000001</v>
      </c>
      <c r="K28" s="147"/>
      <c r="L28" s="104">
        <v>40</v>
      </c>
      <c r="M28" s="105">
        <v>40.103688750229395</v>
      </c>
      <c r="N28" s="105">
        <v>89.109999999999985</v>
      </c>
      <c r="O28" s="105">
        <v>56.036999999999999</v>
      </c>
      <c r="P28" s="106">
        <v>26.884000000000004</v>
      </c>
    </row>
    <row r="29" spans="3:32" ht="17" thickBot="1" x14ac:dyDescent="0.25">
      <c r="C29" s="145" t="s">
        <v>36</v>
      </c>
      <c r="D29" s="98">
        <v>5</v>
      </c>
      <c r="E29" s="99">
        <v>19.463888079824848</v>
      </c>
      <c r="F29" s="99">
        <v>93.008999999999986</v>
      </c>
      <c r="G29" s="99">
        <v>67.712999999999994</v>
      </c>
      <c r="H29" s="100">
        <v>28.567999999999994</v>
      </c>
      <c r="K29" s="145" t="s">
        <v>36</v>
      </c>
      <c r="L29" s="98">
        <v>5</v>
      </c>
      <c r="M29" s="99">
        <v>42.772552454209674</v>
      </c>
      <c r="N29" s="99">
        <v>72.123999999999995</v>
      </c>
      <c r="O29" s="99">
        <v>61.18333333333333</v>
      </c>
      <c r="P29" s="100">
        <v>50.939</v>
      </c>
    </row>
    <row r="30" spans="3:32" ht="17" customHeight="1" x14ac:dyDescent="0.2">
      <c r="C30" s="146"/>
      <c r="D30" s="101">
        <v>10</v>
      </c>
      <c r="E30" s="102">
        <v>2.0424143556280474</v>
      </c>
      <c r="F30" s="102">
        <v>92.287999999999997</v>
      </c>
      <c r="G30" s="102">
        <v>69.372</v>
      </c>
      <c r="H30" s="103">
        <v>29.945999999999998</v>
      </c>
      <c r="K30" s="146"/>
      <c r="L30" s="101">
        <v>10</v>
      </c>
      <c r="M30" s="102">
        <v>35.042055570277448</v>
      </c>
      <c r="N30" s="102">
        <v>76.676999999999992</v>
      </c>
      <c r="O30" s="102">
        <v>65.114999999999995</v>
      </c>
      <c r="P30" s="103">
        <v>49.045000000000002</v>
      </c>
      <c r="U30" s="143" t="s">
        <v>63</v>
      </c>
      <c r="V30" s="136" t="s">
        <v>8</v>
      </c>
      <c r="W30" s="136" t="s">
        <v>54</v>
      </c>
      <c r="X30" s="187" t="s">
        <v>7</v>
      </c>
      <c r="Y30" s="136"/>
      <c r="Z30" s="136"/>
      <c r="AA30" s="188"/>
      <c r="AB30" s="136" t="s">
        <v>65</v>
      </c>
      <c r="AC30" s="136"/>
      <c r="AD30" s="136"/>
      <c r="AE30" s="189"/>
    </row>
    <row r="31" spans="3:32" ht="17" customHeight="1" x14ac:dyDescent="0.2">
      <c r="C31" s="146"/>
      <c r="D31" s="101">
        <v>20</v>
      </c>
      <c r="E31" s="102">
        <v>3.9373490421667872</v>
      </c>
      <c r="F31" s="102">
        <v>91.272000000000006</v>
      </c>
      <c r="G31" s="102">
        <v>68.421000000000006</v>
      </c>
      <c r="H31" s="103">
        <v>32.177000000000007</v>
      </c>
      <c r="K31" s="146"/>
      <c r="L31" s="101">
        <v>20</v>
      </c>
      <c r="M31" s="102">
        <v>41.479924011877756</v>
      </c>
      <c r="N31" s="102">
        <v>89.876000000000005</v>
      </c>
      <c r="O31" s="102">
        <v>58.529000000000011</v>
      </c>
      <c r="P31" s="103">
        <v>29.456</v>
      </c>
      <c r="U31" s="144"/>
      <c r="V31" s="137"/>
      <c r="W31" s="137"/>
      <c r="X31" s="190" t="s">
        <v>64</v>
      </c>
      <c r="Y31" s="182" t="s">
        <v>31</v>
      </c>
      <c r="Z31" s="182" t="s">
        <v>32</v>
      </c>
      <c r="AA31" s="183" t="s">
        <v>33</v>
      </c>
      <c r="AB31" s="182" t="s">
        <v>30</v>
      </c>
      <c r="AC31" s="182" t="s">
        <v>31</v>
      </c>
      <c r="AD31" s="182" t="s">
        <v>32</v>
      </c>
      <c r="AE31" s="184" t="s">
        <v>33</v>
      </c>
    </row>
    <row r="32" spans="3:32" ht="16" customHeight="1" x14ac:dyDescent="0.2">
      <c r="C32" s="147"/>
      <c r="D32" s="104">
        <v>40</v>
      </c>
      <c r="E32" s="105">
        <v>11.377668019050983</v>
      </c>
      <c r="F32" s="105">
        <v>87.565000000000012</v>
      </c>
      <c r="G32" s="105">
        <v>67.073000000000008</v>
      </c>
      <c r="H32" s="106">
        <v>27.975000000000001</v>
      </c>
      <c r="K32" s="147"/>
      <c r="L32" s="104">
        <v>40</v>
      </c>
      <c r="M32" s="105">
        <v>37.932577275468326</v>
      </c>
      <c r="N32" s="105">
        <v>89.55</v>
      </c>
      <c r="O32" s="105">
        <v>59.355000000000004</v>
      </c>
      <c r="P32" s="106">
        <v>26.858000000000004</v>
      </c>
      <c r="U32" s="185" t="s">
        <v>66</v>
      </c>
      <c r="V32" s="122">
        <v>22.722494218003753</v>
      </c>
      <c r="W32" s="122">
        <v>374.94020800000004</v>
      </c>
      <c r="X32" s="121">
        <v>0.81991286896079318</v>
      </c>
      <c r="Y32" s="122">
        <v>96.895999999999987</v>
      </c>
      <c r="Z32" s="122">
        <v>59.86</v>
      </c>
      <c r="AA32" s="123">
        <v>24.580000000000002</v>
      </c>
      <c r="AB32" s="122">
        <v>44.57693809509508</v>
      </c>
      <c r="AC32" s="122">
        <v>70.431999999999988</v>
      </c>
      <c r="AD32" s="122">
        <v>64.615999999999985</v>
      </c>
      <c r="AE32" s="127">
        <v>60.652000000000001</v>
      </c>
    </row>
    <row r="33" spans="3:31" ht="17" customHeight="1" x14ac:dyDescent="0.2">
      <c r="C33" s="146" t="s">
        <v>38</v>
      </c>
      <c r="D33" s="101">
        <v>5</v>
      </c>
      <c r="E33" s="102">
        <v>2.5991652545032231</v>
      </c>
      <c r="F33" s="102">
        <v>91.561000000000007</v>
      </c>
      <c r="G33" s="102">
        <v>65.926999999999992</v>
      </c>
      <c r="H33" s="103">
        <v>29.620000000000005</v>
      </c>
      <c r="K33" s="146" t="s">
        <v>38</v>
      </c>
      <c r="L33" s="101">
        <v>5</v>
      </c>
      <c r="M33" s="102">
        <v>26.420913142994834</v>
      </c>
      <c r="N33" s="102">
        <v>76.171999999999997</v>
      </c>
      <c r="O33" s="102">
        <v>66.545000000000002</v>
      </c>
      <c r="P33" s="103">
        <v>52.326000000000001</v>
      </c>
      <c r="U33" s="185" t="s">
        <v>35</v>
      </c>
      <c r="V33" s="122">
        <v>15.166884816753917</v>
      </c>
      <c r="W33" s="122">
        <v>1786.1320000000001</v>
      </c>
      <c r="X33" s="121">
        <v>2.6897760098498904</v>
      </c>
      <c r="Y33" s="122">
        <v>93.53</v>
      </c>
      <c r="Z33" s="122">
        <v>60.842000000000006</v>
      </c>
      <c r="AA33" s="123">
        <v>22.482000000000003</v>
      </c>
      <c r="AB33" s="122">
        <v>34.568608202443293</v>
      </c>
      <c r="AC33" s="122">
        <v>71.246000000000009</v>
      </c>
      <c r="AD33" s="122">
        <v>62.953999999999994</v>
      </c>
      <c r="AE33" s="127">
        <v>55.32800000000001</v>
      </c>
    </row>
    <row r="34" spans="3:31" ht="17" thickBot="1" x14ac:dyDescent="0.25">
      <c r="C34" s="146"/>
      <c r="D34" s="101">
        <v>10</v>
      </c>
      <c r="E34" s="102">
        <v>3.4134116833736488</v>
      </c>
      <c r="F34" s="102">
        <v>91.734000000000009</v>
      </c>
      <c r="G34" s="102">
        <v>65.387999999999991</v>
      </c>
      <c r="H34" s="103">
        <v>28.614000000000004</v>
      </c>
      <c r="K34" s="146"/>
      <c r="L34" s="101">
        <v>10</v>
      </c>
      <c r="M34" s="102">
        <v>36.918579509089959</v>
      </c>
      <c r="N34" s="102">
        <v>80.744</v>
      </c>
      <c r="O34" s="102">
        <v>63.20300000000001</v>
      </c>
      <c r="P34" s="103">
        <v>46.972000000000001</v>
      </c>
      <c r="U34" s="186" t="s">
        <v>55</v>
      </c>
      <c r="V34" s="108">
        <v>15.254192595717761</v>
      </c>
      <c r="W34" s="108">
        <v>3683.1</v>
      </c>
      <c r="X34" s="191">
        <v>9.4008099018508648</v>
      </c>
      <c r="Y34" s="108">
        <v>90.433999999999997</v>
      </c>
      <c r="Z34" s="108">
        <v>61.914000000000001</v>
      </c>
      <c r="AA34" s="192">
        <v>25.579000000000001</v>
      </c>
      <c r="AB34" s="108">
        <v>34.681204514291728</v>
      </c>
      <c r="AC34" s="108">
        <v>71.361000000000004</v>
      </c>
      <c r="AD34" s="108">
        <v>63.501999999999995</v>
      </c>
      <c r="AE34" s="109">
        <v>56.037999999999997</v>
      </c>
    </row>
    <row r="35" spans="3:31" ht="17" customHeight="1" x14ac:dyDescent="0.2">
      <c r="C35" s="146"/>
      <c r="D35" s="101">
        <v>20</v>
      </c>
      <c r="E35" s="102">
        <v>12.706156317705485</v>
      </c>
      <c r="F35" s="102">
        <v>86.15</v>
      </c>
      <c r="G35" s="102">
        <v>65.28</v>
      </c>
      <c r="H35" s="103">
        <v>31.107000000000006</v>
      </c>
      <c r="K35" s="146"/>
      <c r="L35" s="101">
        <v>20</v>
      </c>
      <c r="M35" s="102">
        <v>38.888721146152569</v>
      </c>
      <c r="N35" s="102">
        <v>85.201000000000008</v>
      </c>
      <c r="O35" s="102">
        <v>59.547000000000011</v>
      </c>
      <c r="P35" s="103">
        <v>35.137999999999998</v>
      </c>
    </row>
    <row r="36" spans="3:31" ht="17" thickBot="1" x14ac:dyDescent="0.25">
      <c r="C36" s="148"/>
      <c r="D36" s="107">
        <v>40</v>
      </c>
      <c r="E36" s="108">
        <v>1.5532335498446741</v>
      </c>
      <c r="F36" s="108">
        <v>89.146000000000001</v>
      </c>
      <c r="G36" s="108">
        <v>64.835999999999984</v>
      </c>
      <c r="H36" s="109">
        <v>30.014000000000003</v>
      </c>
      <c r="K36" s="148"/>
      <c r="L36" s="107">
        <v>40</v>
      </c>
      <c r="M36" s="108">
        <v>31.904798561201414</v>
      </c>
      <c r="N36" s="108">
        <v>87.753000000000014</v>
      </c>
      <c r="O36" s="108">
        <v>60.375</v>
      </c>
      <c r="P36" s="109">
        <v>29.625</v>
      </c>
    </row>
  </sheetData>
  <mergeCells count="37">
    <mergeCell ref="X30:AA30"/>
    <mergeCell ref="AB30:AE30"/>
    <mergeCell ref="V30:V31"/>
    <mergeCell ref="W30:W31"/>
    <mergeCell ref="U30:U31"/>
    <mergeCell ref="C33:C36"/>
    <mergeCell ref="K25:K28"/>
    <mergeCell ref="K29:K32"/>
    <mergeCell ref="K33:K36"/>
    <mergeCell ref="Q5:T5"/>
    <mergeCell ref="C23:H23"/>
    <mergeCell ref="K23:P23"/>
    <mergeCell ref="C25:C28"/>
    <mergeCell ref="C29:C32"/>
    <mergeCell ref="G5:J5"/>
    <mergeCell ref="K5:N5"/>
    <mergeCell ref="C7:C10"/>
    <mergeCell ref="C11:C14"/>
    <mergeCell ref="C15:C18"/>
    <mergeCell ref="C5:C6"/>
    <mergeCell ref="Q7:Q10"/>
    <mergeCell ref="Q11:Q14"/>
    <mergeCell ref="Q15:Q18"/>
    <mergeCell ref="C22:H22"/>
    <mergeCell ref="K22:P22"/>
    <mergeCell ref="W8:AF8"/>
    <mergeCell ref="W10:AF10"/>
    <mergeCell ref="W12:AF12"/>
    <mergeCell ref="X22:X23"/>
    <mergeCell ref="Y22:AB22"/>
    <mergeCell ref="AC22:AF22"/>
    <mergeCell ref="V22:V23"/>
    <mergeCell ref="Y6:AB6"/>
    <mergeCell ref="AC6:AF6"/>
    <mergeCell ref="W6:W7"/>
    <mergeCell ref="X6:X7"/>
    <mergeCell ref="W22:W23"/>
  </mergeCells>
  <conditionalFormatting sqref="F7:F1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:G18">
    <cfRule type="colorScale" priority="8">
      <colorScale>
        <cfvo type="min"/>
        <cfvo type="max"/>
        <color rgb="FF63BE7B"/>
        <color rgb="FFFCFCFF"/>
      </colorScale>
    </cfRule>
  </conditionalFormatting>
  <conditionalFormatting sqref="K7:K18">
    <cfRule type="colorScale" priority="9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7DA4-6338-9647-83B2-AD0B75D75297}">
  <dimension ref="B6:AC41"/>
  <sheetViews>
    <sheetView showGridLines="0" tabSelected="1" zoomScale="75" workbookViewId="0"/>
  </sheetViews>
  <sheetFormatPr baseColWidth="10" defaultRowHeight="16" x14ac:dyDescent="0.2"/>
  <cols>
    <col min="2" max="2" width="11" customWidth="1"/>
    <col min="3" max="5" width="10.83203125" customWidth="1"/>
    <col min="6" max="6" width="15.33203125" bestFit="1" customWidth="1"/>
    <col min="7" max="7" width="7.83203125" customWidth="1"/>
    <col min="8" max="12" width="10.83203125" customWidth="1"/>
    <col min="13" max="13" width="8" customWidth="1"/>
    <col min="14" max="14" width="10.6640625" customWidth="1"/>
    <col min="15" max="18" width="10.83203125" customWidth="1"/>
    <col min="19" max="19" width="6.1640625" bestFit="1" customWidth="1"/>
    <col min="20" max="20" width="13.5" customWidth="1"/>
    <col min="21" max="21" width="12.1640625" customWidth="1"/>
    <col min="22" max="22" width="9.1640625" customWidth="1"/>
    <col min="23" max="23" width="8" bestFit="1" customWidth="1"/>
    <col min="24" max="24" width="7.6640625" bestFit="1" customWidth="1"/>
    <col min="25" max="25" width="8" bestFit="1" customWidth="1"/>
    <col min="26" max="26" width="7.6640625" bestFit="1" customWidth="1"/>
    <col min="27" max="27" width="8" bestFit="1" customWidth="1"/>
    <col min="28" max="28" width="7.6640625" bestFit="1" customWidth="1"/>
    <col min="29" max="29" width="8" bestFit="1" customWidth="1"/>
  </cols>
  <sheetData>
    <row r="6" spans="2:29" x14ac:dyDescent="0.2">
      <c r="Q6" s="168" t="s">
        <v>23</v>
      </c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</row>
    <row r="7" spans="2:29" x14ac:dyDescent="0.2">
      <c r="B7" s="170" t="s">
        <v>24</v>
      </c>
      <c r="C7" s="171"/>
      <c r="D7" s="171"/>
      <c r="E7" s="171"/>
      <c r="F7" s="172"/>
      <c r="G7" s="170" t="s">
        <v>7</v>
      </c>
      <c r="H7" s="171"/>
      <c r="I7" s="171"/>
      <c r="J7" s="172"/>
      <c r="K7" s="170" t="s">
        <v>25</v>
      </c>
      <c r="L7" s="171"/>
      <c r="M7" s="171"/>
      <c r="N7" s="172"/>
      <c r="Q7" s="170" t="s">
        <v>26</v>
      </c>
      <c r="R7" s="171"/>
      <c r="S7" s="171"/>
      <c r="T7" s="171"/>
      <c r="U7" s="172"/>
      <c r="V7" s="170" t="s">
        <v>7</v>
      </c>
      <c r="W7" s="171"/>
      <c r="X7" s="171"/>
      <c r="Y7" s="172"/>
      <c r="Z7" s="170" t="s">
        <v>25</v>
      </c>
      <c r="AA7" s="171"/>
      <c r="AB7" s="171"/>
      <c r="AC7" s="172"/>
    </row>
    <row r="8" spans="2:29" x14ac:dyDescent="0.2">
      <c r="B8" s="15"/>
      <c r="C8" t="s">
        <v>27</v>
      </c>
      <c r="D8" t="s">
        <v>8</v>
      </c>
      <c r="E8" t="s">
        <v>28</v>
      </c>
      <c r="F8" s="16" t="s">
        <v>29</v>
      </c>
      <c r="G8" s="15" t="s">
        <v>30</v>
      </c>
      <c r="H8" t="s">
        <v>31</v>
      </c>
      <c r="I8" t="s">
        <v>32</v>
      </c>
      <c r="J8" s="16" t="s">
        <v>33</v>
      </c>
      <c r="K8" s="15" t="s">
        <v>30</v>
      </c>
      <c r="L8" t="s">
        <v>31</v>
      </c>
      <c r="M8" t="s">
        <v>32</v>
      </c>
      <c r="N8" s="16" t="s">
        <v>33</v>
      </c>
      <c r="Q8" s="17"/>
      <c r="R8" s="17" t="s">
        <v>27</v>
      </c>
      <c r="S8" s="18" t="s">
        <v>8</v>
      </c>
      <c r="T8" s="17" t="s">
        <v>28</v>
      </c>
      <c r="U8" s="17" t="s">
        <v>29</v>
      </c>
      <c r="V8" s="17" t="s">
        <v>30</v>
      </c>
      <c r="W8" s="17" t="s">
        <v>31</v>
      </c>
      <c r="X8" s="17" t="s">
        <v>32</v>
      </c>
      <c r="Y8" s="17" t="s">
        <v>33</v>
      </c>
      <c r="Z8" s="17" t="s">
        <v>30</v>
      </c>
      <c r="AA8" s="17" t="s">
        <v>31</v>
      </c>
      <c r="AB8" s="17" t="s">
        <v>32</v>
      </c>
      <c r="AC8" s="17" t="s">
        <v>33</v>
      </c>
    </row>
    <row r="9" spans="2:29" x14ac:dyDescent="0.2">
      <c r="B9" s="165" t="s">
        <v>34</v>
      </c>
      <c r="C9" s="19">
        <v>5</v>
      </c>
      <c r="D9" s="81">
        <f>sp1_25_a5!$O$7</f>
        <v>15.254192595717761</v>
      </c>
      <c r="E9" s="19">
        <f>sp1_25_a5!$D$25</f>
        <v>3683.1</v>
      </c>
      <c r="F9" s="20">
        <f>sp1_25_a5!$E$41</f>
        <v>1975.7</v>
      </c>
      <c r="G9" s="21">
        <f>sp1_25_a5!$E$26</f>
        <v>9.4008099018508648</v>
      </c>
      <c r="H9" s="19">
        <f>sp1_25_a5!$H$25</f>
        <v>90.433999999999997</v>
      </c>
      <c r="I9" s="19">
        <f>sp1_25_a5!$I$25</f>
        <v>61.914000000000001</v>
      </c>
      <c r="J9" s="20">
        <f>sp1_25_a5!$J$25</f>
        <v>25.579000000000001</v>
      </c>
      <c r="K9" s="21">
        <f>sp1_25_a5!$F$42</f>
        <v>34.681204514291728</v>
      </c>
      <c r="L9" s="19">
        <f>sp1_25_a5!$I$41</f>
        <v>71.361000000000004</v>
      </c>
      <c r="M9" s="19">
        <f>sp1_25_a5!$J$41</f>
        <v>63.501999999999995</v>
      </c>
      <c r="N9" s="20">
        <f>sp1_25_a5!$K$41</f>
        <v>56.037999999999997</v>
      </c>
      <c r="Q9" s="17" t="s">
        <v>34</v>
      </c>
      <c r="R9" s="17">
        <v>40</v>
      </c>
      <c r="S9" s="17">
        <f>'3_scenario_a5'!$O$7</f>
        <v>22.722494218003753</v>
      </c>
      <c r="T9" s="17">
        <f>'3_scenario_a5'!$D$25</f>
        <v>374.94020800000004</v>
      </c>
      <c r="U9" s="17">
        <f>'3_scenario_a5'!$E$41</f>
        <v>2085</v>
      </c>
      <c r="V9" s="17">
        <f>'3_scenario_a5'!$E$26</f>
        <v>0.81991286896079318</v>
      </c>
      <c r="W9" s="17">
        <f>'3_scenario_a5'!$H$25</f>
        <v>96.895999999999987</v>
      </c>
      <c r="X9" s="17">
        <f>'3_scenario_a5'!$I$25</f>
        <v>59.86</v>
      </c>
      <c r="Y9" s="17">
        <f>'3_scenario_a5'!$J$25</f>
        <v>24.580000000000002</v>
      </c>
      <c r="Z9" s="17">
        <f>'3_scenario_a5'!$F$42</f>
        <v>44.57693809509508</v>
      </c>
      <c r="AA9" s="17">
        <f>'3_scenario_a5'!$I$41</f>
        <v>70.431999999999988</v>
      </c>
      <c r="AB9" s="17">
        <f>'3_scenario_a5'!$J$41</f>
        <v>64.615999999999985</v>
      </c>
      <c r="AC9" s="17">
        <f>'3_scenario_a5'!$K$41</f>
        <v>60.652000000000001</v>
      </c>
    </row>
    <row r="10" spans="2:29" x14ac:dyDescent="0.2">
      <c r="B10" s="166"/>
      <c r="C10">
        <v>10</v>
      </c>
      <c r="D10" s="47">
        <f>sp1_25_a10!O7</f>
        <v>15.630462909008314</v>
      </c>
      <c r="E10">
        <f>sp1_25_a10!D25</f>
        <v>1958.5</v>
      </c>
      <c r="F10" s="16">
        <f>sp1_25_a10!E41</f>
        <v>3797.8</v>
      </c>
      <c r="G10" s="15">
        <f>sp1_25_a10!E26</f>
        <v>4.0667251975417074</v>
      </c>
      <c r="H10">
        <f>sp1_25_a10!H25</f>
        <v>92.463999999999999</v>
      </c>
      <c r="I10">
        <f>sp1_25_a10!I25</f>
        <v>63.092000000000006</v>
      </c>
      <c r="J10" s="16">
        <f>sp1_25_a10!J25</f>
        <v>25.68</v>
      </c>
      <c r="K10" s="15">
        <f>sp1_25_a10!F42</f>
        <v>49.842470691647492</v>
      </c>
      <c r="L10">
        <f>sp1_25_a10!I41</f>
        <v>58.003</v>
      </c>
      <c r="M10">
        <f>sp1_25_a10!J41</f>
        <v>52.972500000000004</v>
      </c>
      <c r="N10" s="16">
        <f>sp1_25_a10!K41</f>
        <v>54.278999999999996</v>
      </c>
      <c r="Q10" s="173" t="s">
        <v>35</v>
      </c>
      <c r="R10" s="173"/>
      <c r="S10" s="173"/>
      <c r="T10" s="173"/>
      <c r="U10" s="173"/>
      <c r="V10" s="17"/>
      <c r="W10" s="17"/>
      <c r="X10" s="17"/>
      <c r="Y10" s="17"/>
      <c r="Z10" s="17"/>
      <c r="AA10" s="17"/>
      <c r="AB10" s="17"/>
      <c r="AC10" s="17"/>
    </row>
    <row r="11" spans="2:29" x14ac:dyDescent="0.2">
      <c r="B11" s="166"/>
      <c r="C11">
        <v>20</v>
      </c>
      <c r="D11" s="47">
        <f>sp1_25_a20!O7</f>
        <v>0.16622753949321403</v>
      </c>
      <c r="E11">
        <f>sp1_25_a20!D25</f>
        <v>3000.4259999999999</v>
      </c>
      <c r="F11" s="16">
        <f>sp1_25_a20!E41</f>
        <v>2265.5</v>
      </c>
      <c r="G11" s="15">
        <f>sp1_25_a20!E26</f>
        <v>8.8326574994902636</v>
      </c>
      <c r="H11">
        <f>sp1_25_a20!H25</f>
        <v>89.702999999999989</v>
      </c>
      <c r="I11">
        <f>sp1_25_a20!I25</f>
        <v>62.395999999999994</v>
      </c>
      <c r="J11" s="16">
        <f>sp1_25_a20!J25</f>
        <v>27.905000000000001</v>
      </c>
      <c r="K11" s="15">
        <f>sp1_25_a20!F42</f>
        <v>40.673730394762153</v>
      </c>
      <c r="L11">
        <f>sp1_25_a20!I41</f>
        <v>74.536000000000001</v>
      </c>
      <c r="M11">
        <f>sp1_25_a20!J41</f>
        <v>59.699000000000012</v>
      </c>
      <c r="N11" s="16">
        <f>sp1_25_a20!K41</f>
        <v>49.809000000000005</v>
      </c>
      <c r="Q11" s="17" t="s">
        <v>34</v>
      </c>
      <c r="R11" s="17">
        <v>40</v>
      </c>
      <c r="S11" s="17">
        <f>'10_scenario_a5'!$O$7</f>
        <v>15.166884816753917</v>
      </c>
      <c r="T11" s="17">
        <f>'10_scenario_a5'!$D$25</f>
        <v>1786.1320000000001</v>
      </c>
      <c r="U11" s="17">
        <f>'10_scenario_a5'!$E$41</f>
        <v>2103.8000000000002</v>
      </c>
      <c r="V11" s="17">
        <f>'10_scenario_a5'!$E$26</f>
        <v>2.6897760098498904</v>
      </c>
      <c r="W11" s="17">
        <f>'10_scenario_a5'!$H$25</f>
        <v>93.53</v>
      </c>
      <c r="X11" s="17">
        <f>'10_scenario_a5'!$I$25</f>
        <v>60.842000000000006</v>
      </c>
      <c r="Y11" s="17">
        <f>'10_scenario_a5'!$J$25</f>
        <v>22.482000000000003</v>
      </c>
      <c r="Z11" s="17">
        <f>'10_scenario_a5'!$F$42</f>
        <v>34.568608202443293</v>
      </c>
      <c r="AA11" s="17">
        <f>'10_scenario_a5'!$I$41</f>
        <v>71.246000000000009</v>
      </c>
      <c r="AB11" s="17">
        <f>'10_scenario_a5'!$J$41</f>
        <v>62.953999999999994</v>
      </c>
      <c r="AC11" s="17">
        <f>'10_scenario_a5'!$K$41</f>
        <v>55.32800000000001</v>
      </c>
    </row>
    <row r="12" spans="2:29" x14ac:dyDescent="0.2">
      <c r="B12" s="167"/>
      <c r="C12" s="22">
        <v>40</v>
      </c>
      <c r="D12" s="82">
        <f>sp1_25_a40!O7</f>
        <v>2.4981648008808923</v>
      </c>
      <c r="E12" s="22">
        <f>sp1_25_a40!D25</f>
        <v>3324</v>
      </c>
      <c r="F12" s="23">
        <f>sp1_25_a40!E41</f>
        <v>1958.2</v>
      </c>
      <c r="G12" s="24">
        <f>sp1_25_a40!E26</f>
        <v>10.705892885118947</v>
      </c>
      <c r="H12" s="22">
        <f>sp1_25_a40!H25</f>
        <v>88.495000000000005</v>
      </c>
      <c r="I12" s="22">
        <f>sp1_25_a40!I25</f>
        <v>62.065000000000012</v>
      </c>
      <c r="J12" s="23">
        <f>sp1_25_a40!J25</f>
        <v>27.024000000000001</v>
      </c>
      <c r="K12" s="24">
        <f>sp1_25_a40!F42</f>
        <v>40.103688750229395</v>
      </c>
      <c r="L12" s="22">
        <f>sp1_25_a40!I41</f>
        <v>89.109999999999985</v>
      </c>
      <c r="M12" s="22">
        <f>sp1_25_a40!J41</f>
        <v>56.036999999999999</v>
      </c>
      <c r="N12" s="23">
        <f>sp1_25_a40!K41</f>
        <v>26.884000000000004</v>
      </c>
    </row>
    <row r="13" spans="2:29" x14ac:dyDescent="0.2">
      <c r="B13" s="165" t="s">
        <v>36</v>
      </c>
      <c r="C13" s="19">
        <v>5</v>
      </c>
      <c r="D13" s="19">
        <f>sp2_25_a5!O7</f>
        <v>1.3223030349186831</v>
      </c>
      <c r="E13" s="19">
        <f>sp2_25_a5!D25</f>
        <v>2043.4</v>
      </c>
      <c r="F13" s="20">
        <f>sp2_25_a5!E41</f>
        <v>3778</v>
      </c>
      <c r="G13" s="21">
        <f>sp2_25_a5!E26</f>
        <v>19.463888079824848</v>
      </c>
      <c r="H13" s="19">
        <f>sp2_25_a5!H25</f>
        <v>93.008999999999986</v>
      </c>
      <c r="I13" s="19">
        <f>sp2_25_a5!I25</f>
        <v>67.712999999999994</v>
      </c>
      <c r="J13" s="20">
        <f>sp2_25_a5!J25</f>
        <v>28.567999999999994</v>
      </c>
      <c r="K13" s="21">
        <f>sp2_25_a5!F42</f>
        <v>42.772552454209674</v>
      </c>
      <c r="L13" s="19">
        <f>sp2_25_a5!I41</f>
        <v>72.123999999999995</v>
      </c>
      <c r="M13" s="19">
        <f>sp2_25_a5!J41</f>
        <v>61.18333333333333</v>
      </c>
      <c r="N13" s="20">
        <f>sp2_25_a5!K41</f>
        <v>50.939</v>
      </c>
      <c r="Q13" s="168" t="s">
        <v>37</v>
      </c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</row>
    <row r="14" spans="2:29" x14ac:dyDescent="0.2">
      <c r="B14" s="166"/>
      <c r="C14">
        <v>10</v>
      </c>
      <c r="D14">
        <f>sp2_25_a10!O7</f>
        <v>5.2861447261235508</v>
      </c>
      <c r="E14">
        <f>sp2_25_a10!D25</f>
        <v>1541</v>
      </c>
      <c r="F14" s="16">
        <f>sp2_25_a10!E41</f>
        <v>1855.1</v>
      </c>
      <c r="G14" s="15">
        <f>sp2_25_a10!E26</f>
        <v>2.0424143556280474</v>
      </c>
      <c r="H14">
        <f>sp2_25_a10!H25</f>
        <v>92.287999999999997</v>
      </c>
      <c r="I14">
        <f>sp2_25_a10!I25</f>
        <v>69.372</v>
      </c>
      <c r="J14" s="16">
        <f>sp2_25_a10!J25</f>
        <v>29.945999999999998</v>
      </c>
      <c r="K14" s="15">
        <f>sp2_25_a10!F42</f>
        <v>35.042055570277448</v>
      </c>
      <c r="L14">
        <f>sp2_25_a10!I41</f>
        <v>76.676999999999992</v>
      </c>
      <c r="M14">
        <f>sp2_25_a10!J41</f>
        <v>65.114999999999995</v>
      </c>
      <c r="N14" s="16">
        <f>sp2_25_a10!K41</f>
        <v>49.045000000000002</v>
      </c>
      <c r="Q14" s="173" t="s">
        <v>24</v>
      </c>
      <c r="R14" s="173"/>
      <c r="S14" s="173"/>
      <c r="T14" s="173"/>
      <c r="U14" s="173"/>
      <c r="V14" s="173" t="s">
        <v>7</v>
      </c>
      <c r="W14" s="173"/>
      <c r="X14" s="173"/>
      <c r="Y14" s="173"/>
      <c r="Z14" s="173" t="s">
        <v>25</v>
      </c>
      <c r="AA14" s="173"/>
      <c r="AB14" s="173"/>
      <c r="AC14" s="173"/>
    </row>
    <row r="15" spans="2:29" x14ac:dyDescent="0.2">
      <c r="B15" s="166"/>
      <c r="C15">
        <v>20</v>
      </c>
      <c r="D15">
        <f>sp2_25_a20!O7</f>
        <v>3.3198694184709769E-2</v>
      </c>
      <c r="E15">
        <f>sp2_25_a20!D25</f>
        <v>1840.9</v>
      </c>
      <c r="F15" s="16">
        <f>sp2_25_a20!E41</f>
        <v>3874.6</v>
      </c>
      <c r="G15" s="15">
        <f>sp2_25_a20!E26</f>
        <v>3.9373490421667872</v>
      </c>
      <c r="H15">
        <f>sp2_25_a20!H25</f>
        <v>91.272000000000006</v>
      </c>
      <c r="I15">
        <f>sp2_25_a20!I25</f>
        <v>68.421000000000006</v>
      </c>
      <c r="J15" s="16">
        <f>sp2_25_a20!J25</f>
        <v>32.177000000000007</v>
      </c>
      <c r="K15" s="15">
        <f>sp2_25_a20!F42</f>
        <v>41.479924011877756</v>
      </c>
      <c r="L15">
        <f>sp2_25_a20!I41</f>
        <v>89.876000000000005</v>
      </c>
      <c r="M15">
        <f>sp2_25_a20!J41</f>
        <v>58.529000000000011</v>
      </c>
      <c r="N15" s="16">
        <f>sp2_25_a20!K41</f>
        <v>29.456</v>
      </c>
      <c r="Q15" s="17"/>
      <c r="R15" s="17" t="s">
        <v>27</v>
      </c>
      <c r="S15" s="18" t="s">
        <v>8</v>
      </c>
      <c r="T15" s="17" t="s">
        <v>28</v>
      </c>
      <c r="U15" s="17" t="s">
        <v>29</v>
      </c>
      <c r="V15" s="17" t="s">
        <v>30</v>
      </c>
      <c r="W15" s="17" t="s">
        <v>31</v>
      </c>
      <c r="X15" s="17" t="s">
        <v>32</v>
      </c>
      <c r="Y15" s="17" t="s">
        <v>33</v>
      </c>
      <c r="Z15" s="17" t="s">
        <v>30</v>
      </c>
      <c r="AA15" s="17" t="s">
        <v>31</v>
      </c>
      <c r="AB15" s="17" t="s">
        <v>32</v>
      </c>
      <c r="AC15" s="17" t="s">
        <v>33</v>
      </c>
    </row>
    <row r="16" spans="2:29" x14ac:dyDescent="0.2">
      <c r="B16" s="167"/>
      <c r="C16" s="22">
        <v>40</v>
      </c>
      <c r="D16" s="22">
        <f>sp2_25_a40!O7</f>
        <v>10.276810551092279</v>
      </c>
      <c r="E16" s="22">
        <f>sp2_25_a40!D25</f>
        <v>3317</v>
      </c>
      <c r="F16" s="23">
        <f>sp2_25_a40!E41</f>
        <v>2990.7</v>
      </c>
      <c r="G16" s="24">
        <f>sp2_25_a40!E26</f>
        <v>11.377668019050983</v>
      </c>
      <c r="H16" s="22">
        <f>sp2_25_a40!H25</f>
        <v>87.565000000000012</v>
      </c>
      <c r="I16" s="22">
        <f>sp2_25_a40!I25</f>
        <v>67.073000000000008</v>
      </c>
      <c r="J16" s="23">
        <f>sp2_25_a40!J25</f>
        <v>27.975000000000001</v>
      </c>
      <c r="K16" s="24">
        <f>sp2_25_a40!F42</f>
        <v>37.932577275468326</v>
      </c>
      <c r="L16" s="22">
        <f>sp2_25_a40!I41</f>
        <v>89.55</v>
      </c>
      <c r="M16" s="22">
        <f>sp2_25_a40!J41</f>
        <v>59.355000000000004</v>
      </c>
      <c r="N16" s="23">
        <f>sp2_25_a40!K41</f>
        <v>26.858000000000004</v>
      </c>
      <c r="Q16" s="17" t="s">
        <v>34</v>
      </c>
      <c r="R16" s="17">
        <v>40</v>
      </c>
      <c r="S16" s="17">
        <f>no_type!$O$7</f>
        <v>43.78906817851432</v>
      </c>
      <c r="T16" s="17">
        <f>no_type!$D$25</f>
        <v>8.66614E-2</v>
      </c>
      <c r="U16" s="17">
        <f>no_type!$E$41</f>
        <v>2045.2</v>
      </c>
      <c r="V16" s="17">
        <f>no_type!$E$26</f>
        <v>0.20219891318083738</v>
      </c>
      <c r="W16" s="17">
        <f>no_type!$H$25</f>
        <v>99.8</v>
      </c>
      <c r="X16" s="17">
        <f>no_type!$I$25</f>
        <v>72.548000000000002</v>
      </c>
      <c r="Y16" s="17">
        <f>no_type!$J$25</f>
        <v>1.05</v>
      </c>
      <c r="Z16" s="17">
        <f>no_type!$F$42</f>
        <v>5.1206570722488705</v>
      </c>
      <c r="AA16" s="17">
        <f>no_type!$I$41</f>
        <v>81.556000000000012</v>
      </c>
      <c r="AB16" s="17">
        <f>no_type!$J$41</f>
        <v>90.464000000000013</v>
      </c>
      <c r="AC16" s="17">
        <f>no_type!$K$41</f>
        <v>53.455999999999996</v>
      </c>
    </row>
    <row r="17" spans="2:29" x14ac:dyDescent="0.2">
      <c r="B17" s="165" t="s">
        <v>38</v>
      </c>
      <c r="C17" s="19">
        <v>5</v>
      </c>
      <c r="D17" s="19">
        <f>sp3_25_a5!O7</f>
        <v>2.3683893506806166</v>
      </c>
      <c r="E17" s="19">
        <f>sp3_25_a5!D25</f>
        <v>1351.5</v>
      </c>
      <c r="F17" s="20">
        <f>sp3_25_a5!E41</f>
        <v>1815.9</v>
      </c>
      <c r="G17" s="21">
        <f>sp3_25_a5!E26</f>
        <v>2.5991652545032231</v>
      </c>
      <c r="H17" s="19">
        <f>sp3_25_a5!H25</f>
        <v>91.561000000000007</v>
      </c>
      <c r="I17" s="19">
        <f>sp3_25_a5!I25</f>
        <v>65.926999999999992</v>
      </c>
      <c r="J17" s="20">
        <f>sp3_25_a5!J25</f>
        <v>29.620000000000005</v>
      </c>
      <c r="K17" s="21">
        <f>sp3_25_a5!F42</f>
        <v>26.420913142994834</v>
      </c>
      <c r="L17" s="19">
        <f>sp3_25_a5!I41</f>
        <v>76.171999999999997</v>
      </c>
      <c r="M17" s="19">
        <f>sp3_25_a5!J41</f>
        <v>66.545000000000002</v>
      </c>
      <c r="N17" s="20">
        <f>sp3_25_a5!K41</f>
        <v>52.326000000000001</v>
      </c>
      <c r="Q17" s="173" t="s">
        <v>39</v>
      </c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</row>
    <row r="18" spans="2:29" x14ac:dyDescent="0.2">
      <c r="B18" s="166"/>
      <c r="C18">
        <v>10</v>
      </c>
      <c r="D18">
        <f>sp3_25_a10!O7</f>
        <v>10.093234851498838</v>
      </c>
      <c r="E18">
        <f>sp3_25_a10!D25</f>
        <v>1562.1</v>
      </c>
      <c r="F18" s="16">
        <f>sp3_25_a10!E41</f>
        <v>3851.2</v>
      </c>
      <c r="G18" s="15">
        <f>sp3_25_a10!E26</f>
        <v>3.4134116833736488</v>
      </c>
      <c r="H18">
        <f>sp3_25_a10!H25</f>
        <v>91.734000000000009</v>
      </c>
      <c r="I18">
        <f>sp3_25_a10!I25</f>
        <v>65.387999999999991</v>
      </c>
      <c r="J18" s="16">
        <f>sp3_25_a10!J25</f>
        <v>28.614000000000004</v>
      </c>
      <c r="K18" s="15">
        <f>sp3_25_a10!F42</f>
        <v>36.918579509089959</v>
      </c>
      <c r="L18">
        <f>sp3_25_a10!I41</f>
        <v>80.744</v>
      </c>
      <c r="M18">
        <f>sp3_25_a10!J41</f>
        <v>63.20300000000001</v>
      </c>
      <c r="N18" s="16">
        <f>sp3_25_a10!K41</f>
        <v>46.972000000000001</v>
      </c>
      <c r="Q18" s="17" t="s">
        <v>34</v>
      </c>
      <c r="R18" s="17">
        <v>40</v>
      </c>
      <c r="S18" s="17">
        <f>no_same_type!$O$7</f>
        <v>32.811974436596024</v>
      </c>
      <c r="T18" s="17">
        <f>no_same_type!$D$25</f>
        <v>0.127162</v>
      </c>
      <c r="U18" s="17">
        <f>no_same_type!$E$41</f>
        <v>3615.8</v>
      </c>
      <c r="V18" s="17">
        <f>no_same_type!$E$26</f>
        <v>0</v>
      </c>
      <c r="W18" s="17">
        <f>no_same_type!$H$25</f>
        <v>100</v>
      </c>
      <c r="X18" s="17">
        <f>no_same_type!$I$25</f>
        <v>71.358000000000004</v>
      </c>
      <c r="Y18" s="195" t="str">
        <f>IFERROR(no_same_type!$J$25,"-")</f>
        <v>-</v>
      </c>
      <c r="Z18" s="17">
        <f>no_same_type!$F$42</f>
        <v>12.889337369660266</v>
      </c>
      <c r="AA18" s="17">
        <f>no_same_type!$I$41</f>
        <v>80.919999999999987</v>
      </c>
      <c r="AB18" s="17">
        <f>no_same_type!$J$41</f>
        <v>85.281999999999996</v>
      </c>
      <c r="AC18" s="17">
        <f>no_same_type!$K$41</f>
        <v>50.866</v>
      </c>
    </row>
    <row r="19" spans="2:29" x14ac:dyDescent="0.2">
      <c r="B19" s="166"/>
      <c r="C19">
        <v>20</v>
      </c>
      <c r="D19">
        <f>sp3_25_a20!O7</f>
        <v>2.4305922492791248</v>
      </c>
      <c r="E19">
        <f>sp3_25_a20!D25</f>
        <v>3858.4</v>
      </c>
      <c r="F19" s="16">
        <f>sp3_25_a20!E41</f>
        <v>3959.8</v>
      </c>
      <c r="G19" s="15">
        <f>sp3_25_a20!E26</f>
        <v>12.706156317705485</v>
      </c>
      <c r="H19">
        <f>sp3_25_a20!H25</f>
        <v>86.15</v>
      </c>
      <c r="I19">
        <f>sp3_25_a20!I25</f>
        <v>65.28</v>
      </c>
      <c r="J19" s="16">
        <f>sp3_25_a20!J25</f>
        <v>31.107000000000006</v>
      </c>
      <c r="K19" s="15">
        <f>sp3_25_a20!F42</f>
        <v>38.888721146152569</v>
      </c>
      <c r="L19">
        <f>sp3_25_a20!I41</f>
        <v>85.201000000000008</v>
      </c>
      <c r="M19">
        <f>sp3_25_a20!J41</f>
        <v>59.547000000000011</v>
      </c>
      <c r="N19" s="16">
        <f>sp3_25_a20!K41</f>
        <v>35.137999999999998</v>
      </c>
    </row>
    <row r="20" spans="2:29" x14ac:dyDescent="0.2">
      <c r="B20" s="167"/>
      <c r="C20" s="22">
        <v>40</v>
      </c>
      <c r="D20" s="22">
        <f>sp3_25_a40!O7</f>
        <v>8.3136804831452</v>
      </c>
      <c r="E20" s="22">
        <f>sp3_25_a40!D25</f>
        <v>1505.8130000000001</v>
      </c>
      <c r="F20" s="23">
        <f>sp3_25_a40!E41</f>
        <v>1945.1</v>
      </c>
      <c r="G20" s="24">
        <f>sp3_25_a40!E26</f>
        <v>1.5532335498446741</v>
      </c>
      <c r="H20" s="22">
        <f>sp3_25_a40!H25</f>
        <v>89.146000000000001</v>
      </c>
      <c r="I20" s="22">
        <f>sp3_25_a40!I25</f>
        <v>64.835999999999984</v>
      </c>
      <c r="J20" s="23">
        <f>sp3_25_a40!J25</f>
        <v>30.014000000000003</v>
      </c>
      <c r="K20" s="24">
        <f>sp3_25_a40!F42</f>
        <v>31.904798561201414</v>
      </c>
      <c r="L20" s="22">
        <f>sp3_25_a40!I41</f>
        <v>87.753000000000014</v>
      </c>
      <c r="M20" s="22">
        <f>sp3_25_a40!J41</f>
        <v>60.375</v>
      </c>
      <c r="N20" s="23">
        <f>sp3_25_a40!K41</f>
        <v>29.625</v>
      </c>
    </row>
    <row r="24" spans="2:29" ht="17" thickBot="1" x14ac:dyDescent="0.25">
      <c r="B24" s="174" t="s">
        <v>34</v>
      </c>
      <c r="C24" s="174"/>
      <c r="D24" s="174"/>
      <c r="E24" s="174"/>
      <c r="F24" s="174"/>
      <c r="H24" s="174" t="s">
        <v>36</v>
      </c>
      <c r="I24" s="174"/>
      <c r="J24" s="174"/>
      <c r="K24" s="174"/>
      <c r="L24" s="174"/>
      <c r="N24" s="174" t="s">
        <v>38</v>
      </c>
      <c r="O24" s="174"/>
      <c r="P24" s="174"/>
      <c r="Q24" s="174"/>
      <c r="R24" s="174"/>
    </row>
    <row r="25" spans="2:29" ht="18" thickTop="1" thickBot="1" x14ac:dyDescent="0.25">
      <c r="B25" s="74"/>
      <c r="C25" s="74"/>
      <c r="D25" s="74"/>
      <c r="E25" s="74"/>
      <c r="F25" s="74"/>
      <c r="N25" s="25"/>
    </row>
    <row r="26" spans="2:29" x14ac:dyDescent="0.2">
      <c r="B26" s="73" t="s">
        <v>51</v>
      </c>
      <c r="C26" s="61" t="s">
        <v>40</v>
      </c>
      <c r="D26" s="61" t="s">
        <v>53</v>
      </c>
      <c r="E26" s="50" t="s">
        <v>41</v>
      </c>
      <c r="F26" s="51" t="s">
        <v>50</v>
      </c>
      <c r="H26" s="73" t="s">
        <v>51</v>
      </c>
      <c r="I26" s="61" t="s">
        <v>40</v>
      </c>
      <c r="J26" s="61" t="s">
        <v>53</v>
      </c>
      <c r="K26" s="50" t="s">
        <v>41</v>
      </c>
      <c r="L26" s="51" t="s">
        <v>50</v>
      </c>
      <c r="N26" s="73" t="s">
        <v>51</v>
      </c>
      <c r="O26" s="61" t="s">
        <v>40</v>
      </c>
      <c r="P26" s="61" t="s">
        <v>53</v>
      </c>
      <c r="Q26" s="50" t="s">
        <v>41</v>
      </c>
      <c r="R26" s="51" t="s">
        <v>50</v>
      </c>
      <c r="U26" s="79" t="s">
        <v>51</v>
      </c>
      <c r="V26" s="80" t="s">
        <v>50</v>
      </c>
    </row>
    <row r="27" spans="2:29" x14ac:dyDescent="0.2">
      <c r="B27" s="175">
        <v>5</v>
      </c>
      <c r="C27" s="62" t="s">
        <v>43</v>
      </c>
      <c r="D27" s="66">
        <f>sp1_25_a5!D41</f>
        <v>75.847999999999999</v>
      </c>
      <c r="E27" s="60">
        <f>'Hss-sp1_25'!C26</f>
        <v>92.403611111111104</v>
      </c>
      <c r="F27" s="70">
        <f>((E27-D27)/D27)</f>
        <v>0.21827353537484318</v>
      </c>
      <c r="H27" s="175">
        <v>5</v>
      </c>
      <c r="I27" s="62" t="s">
        <v>43</v>
      </c>
      <c r="J27" s="66">
        <f>sp2_25_a5!D41</f>
        <v>105.04400000000001</v>
      </c>
      <c r="K27" s="60">
        <f>'Hss-sp2_25'!$C26</f>
        <v>119.35777777777778</v>
      </c>
      <c r="L27" s="70">
        <f>((K27-J27)/J27)</f>
        <v>0.13626459176895178</v>
      </c>
      <c r="N27" s="175">
        <v>5</v>
      </c>
      <c r="O27" s="62" t="s">
        <v>43</v>
      </c>
      <c r="P27" s="66">
        <f>sp3_25_a5!D41</f>
        <v>124.51500000000001</v>
      </c>
      <c r="Q27" s="60">
        <f>'Hss-sp3_25'!C26</f>
        <v>152.47666666666666</v>
      </c>
      <c r="R27" s="70">
        <f>((Q27-P27)/P27)</f>
        <v>0.2245646441526454</v>
      </c>
      <c r="U27" s="75">
        <v>5</v>
      </c>
      <c r="V27" s="77">
        <f>AVERAGE(F27,L27,R27)</f>
        <v>0.19303425709881347</v>
      </c>
    </row>
    <row r="28" spans="2:29" x14ac:dyDescent="0.2">
      <c r="B28" s="176"/>
      <c r="C28" s="63" t="s">
        <v>32</v>
      </c>
      <c r="D28" s="67">
        <f>M9</f>
        <v>63.501999999999995</v>
      </c>
      <c r="E28" s="54">
        <f>'Hss-sp1_25'!F26*100</f>
        <v>62.917777777777772</v>
      </c>
      <c r="F28" s="53" t="s">
        <v>52</v>
      </c>
      <c r="H28" s="176"/>
      <c r="I28" s="63" t="s">
        <v>32</v>
      </c>
      <c r="J28" s="67">
        <f>M13</f>
        <v>61.18333333333333</v>
      </c>
      <c r="K28" s="54">
        <f>'Hss-sp2_25'!$F26*100</f>
        <v>67.546666666666667</v>
      </c>
      <c r="L28" s="53" t="s">
        <v>52</v>
      </c>
      <c r="N28" s="176"/>
      <c r="O28" s="63" t="s">
        <v>32</v>
      </c>
      <c r="P28" s="67">
        <f>M17</f>
        <v>66.545000000000002</v>
      </c>
      <c r="Q28" s="54">
        <f>'Hss-sp3_25'!F26*100</f>
        <v>66.37</v>
      </c>
      <c r="R28" s="53" t="s">
        <v>52</v>
      </c>
      <c r="U28" s="75">
        <v>10</v>
      </c>
      <c r="V28" s="77">
        <f>AVERAGE(F30,L30,R30)</f>
        <v>0.19413179913737913</v>
      </c>
    </row>
    <row r="29" spans="2:29" x14ac:dyDescent="0.2">
      <c r="B29" s="177"/>
      <c r="C29" s="64" t="s">
        <v>33</v>
      </c>
      <c r="D29" s="68">
        <f>N9</f>
        <v>56.037999999999997</v>
      </c>
      <c r="E29" s="58">
        <f>'Hss-sp1_25'!G26*100</f>
        <v>59.244444444444447</v>
      </c>
      <c r="F29" s="59" t="s">
        <v>52</v>
      </c>
      <c r="H29" s="177"/>
      <c r="I29" s="64" t="s">
        <v>33</v>
      </c>
      <c r="J29" s="68">
        <f>N13</f>
        <v>50.939</v>
      </c>
      <c r="K29" s="58">
        <f>'Hss-sp2_25'!$G26*100</f>
        <v>59.496666666666663</v>
      </c>
      <c r="L29" s="59" t="s">
        <v>52</v>
      </c>
      <c r="N29" s="177"/>
      <c r="O29" s="64" t="s">
        <v>33</v>
      </c>
      <c r="P29" s="68">
        <f>N17</f>
        <v>52.326000000000001</v>
      </c>
      <c r="Q29" s="58">
        <f>'Hss-sp3_25'!G26*100</f>
        <v>56.371249999999996</v>
      </c>
      <c r="R29" s="59" t="s">
        <v>52</v>
      </c>
      <c r="U29" s="75">
        <v>20</v>
      </c>
      <c r="V29" s="77">
        <f>AVERAGE(F33,L33,R33)</f>
        <v>0.27239050181161811</v>
      </c>
    </row>
    <row r="30" spans="2:29" x14ac:dyDescent="0.2">
      <c r="B30" s="176">
        <v>10</v>
      </c>
      <c r="C30" s="63" t="s">
        <v>43</v>
      </c>
      <c r="D30" s="67">
        <f>sp1_25_a10!D41</f>
        <v>101.251</v>
      </c>
      <c r="E30" s="52">
        <f>'Hss-sp1_25'!C43</f>
        <v>108.97622222222223</v>
      </c>
      <c r="F30" s="71">
        <f>((E30-D30)/D30)</f>
        <v>7.6297737525774845E-2</v>
      </c>
      <c r="H30" s="176">
        <v>10</v>
      </c>
      <c r="I30" s="63" t="s">
        <v>43</v>
      </c>
      <c r="J30" s="67">
        <f>sp2_25_a10!D41</f>
        <v>101.88899999999998</v>
      </c>
      <c r="K30" s="52">
        <f>'Hss-sp2_25'!$C43</f>
        <v>127.42222222222222</v>
      </c>
      <c r="L30" s="71">
        <f>((K30-J30)/J30)</f>
        <v>0.25059841810423344</v>
      </c>
      <c r="N30" s="176">
        <v>10</v>
      </c>
      <c r="O30" s="63" t="s">
        <v>43</v>
      </c>
      <c r="P30" s="67">
        <f>sp3_25_a10!D41</f>
        <v>115.622</v>
      </c>
      <c r="Q30" s="52">
        <f>'Hss-sp3_25'!C43</f>
        <v>145.16333333333333</v>
      </c>
      <c r="R30" s="71">
        <f>((Q30-P30)/P30)</f>
        <v>0.25549924178212907</v>
      </c>
      <c r="U30" s="76">
        <v>40</v>
      </c>
      <c r="V30" s="78">
        <f>AVERAGE(F36,L36,R36)</f>
        <v>0.38439614081827367</v>
      </c>
    </row>
    <row r="31" spans="2:29" x14ac:dyDescent="0.2">
      <c r="B31" s="176"/>
      <c r="C31" s="63" t="s">
        <v>32</v>
      </c>
      <c r="D31" s="67">
        <f>M10</f>
        <v>52.972500000000004</v>
      </c>
      <c r="E31" s="54">
        <f>'Hss-sp1_25'!F43*100</f>
        <v>59.933333333333337</v>
      </c>
      <c r="F31" s="53" t="s">
        <v>52</v>
      </c>
      <c r="H31" s="176"/>
      <c r="I31" s="63" t="s">
        <v>32</v>
      </c>
      <c r="J31" s="67">
        <f>M14</f>
        <v>65.114999999999995</v>
      </c>
      <c r="K31" s="54">
        <f>'Hss-sp2_25'!$F43*100</f>
        <v>68.64</v>
      </c>
      <c r="L31" s="53" t="s">
        <v>52</v>
      </c>
      <c r="N31" s="176"/>
      <c r="O31" s="63" t="s">
        <v>32</v>
      </c>
      <c r="P31" s="67">
        <f>M18</f>
        <v>63.20300000000001</v>
      </c>
      <c r="Q31" s="54">
        <f>'Hss-sp3_25'!F43*100</f>
        <v>68.332222222222228</v>
      </c>
      <c r="R31" s="53" t="s">
        <v>52</v>
      </c>
    </row>
    <row r="32" spans="2:29" x14ac:dyDescent="0.2">
      <c r="B32" s="176"/>
      <c r="C32" s="64" t="s">
        <v>33</v>
      </c>
      <c r="D32" s="67">
        <f>N10</f>
        <v>54.278999999999996</v>
      </c>
      <c r="E32" s="54">
        <f>'Hss-sp1_25'!G43*100</f>
        <v>61.847777777777793</v>
      </c>
      <c r="F32" s="53" t="s">
        <v>52</v>
      </c>
      <c r="H32" s="176"/>
      <c r="I32" s="64" t="s">
        <v>33</v>
      </c>
      <c r="J32" s="67">
        <f>N14</f>
        <v>49.045000000000002</v>
      </c>
      <c r="K32" s="54">
        <f>'Hss-sp2_25'!$G43*100</f>
        <v>53.987499999999997</v>
      </c>
      <c r="L32" s="53" t="s">
        <v>52</v>
      </c>
      <c r="N32" s="176"/>
      <c r="O32" s="64" t="s">
        <v>33</v>
      </c>
      <c r="P32" s="67">
        <f>N18</f>
        <v>46.972000000000001</v>
      </c>
      <c r="Q32" s="54">
        <f>'Hss-sp3_25'!G43*100</f>
        <v>50.243333333333339</v>
      </c>
      <c r="R32" s="53" t="s">
        <v>52</v>
      </c>
    </row>
    <row r="33" spans="2:29" x14ac:dyDescent="0.2">
      <c r="B33" s="175">
        <v>20</v>
      </c>
      <c r="C33" s="62" t="s">
        <v>43</v>
      </c>
      <c r="D33" s="66">
        <f>sp1_25_a20!D41</f>
        <v>88.433000000000021</v>
      </c>
      <c r="E33" s="60">
        <f>'Hss-sp1_25'!C60</f>
        <v>106.71111111111109</v>
      </c>
      <c r="F33" s="70">
        <f>((E33-D33)/D33)</f>
        <v>0.20668880520971886</v>
      </c>
      <c r="H33" s="175">
        <v>20</v>
      </c>
      <c r="I33" s="62" t="s">
        <v>43</v>
      </c>
      <c r="J33" s="66">
        <f>sp2_25_a20!D41</f>
        <v>108.43799999999999</v>
      </c>
      <c r="K33" s="60">
        <f>'Hss-sp2_25'!$C60</f>
        <v>141.64888888888888</v>
      </c>
      <c r="L33" s="70">
        <f>((K33-J33)/J33)</f>
        <v>0.3062661510622558</v>
      </c>
      <c r="N33" s="175">
        <v>20</v>
      </c>
      <c r="O33" s="62" t="s">
        <v>43</v>
      </c>
      <c r="P33" s="66">
        <f>sp3_25_a20!D41</f>
        <v>132.47800000000001</v>
      </c>
      <c r="Q33" s="60">
        <f>'Hss-sp3_25'!C60</f>
        <v>172.77999999999997</v>
      </c>
      <c r="R33" s="70">
        <f>((Q33-P33)/P33)</f>
        <v>0.3042165491628796</v>
      </c>
    </row>
    <row r="34" spans="2:29" x14ac:dyDescent="0.2">
      <c r="B34" s="176"/>
      <c r="C34" s="63" t="s">
        <v>32</v>
      </c>
      <c r="D34" s="67">
        <f>M11</f>
        <v>59.699000000000012</v>
      </c>
      <c r="E34" s="54">
        <f>'Hss-sp1_25'!F60*100</f>
        <v>63.555555555555564</v>
      </c>
      <c r="F34" s="53" t="s">
        <v>52</v>
      </c>
      <c r="H34" s="176"/>
      <c r="I34" s="63" t="s">
        <v>32</v>
      </c>
      <c r="J34" s="67">
        <f>M15</f>
        <v>58.529000000000011</v>
      </c>
      <c r="K34" s="54">
        <f>'Hss-sp2_25'!$F60*100</f>
        <v>69.311111111111117</v>
      </c>
      <c r="L34" s="53" t="s">
        <v>52</v>
      </c>
      <c r="N34" s="176"/>
      <c r="O34" s="63" t="s">
        <v>32</v>
      </c>
      <c r="P34" s="67">
        <f>M19</f>
        <v>59.547000000000011</v>
      </c>
      <c r="Q34" s="54">
        <f>'Hss-sp3_25'!F60*100</f>
        <v>68.441111111111098</v>
      </c>
      <c r="R34" s="53" t="s">
        <v>52</v>
      </c>
    </row>
    <row r="35" spans="2:29" x14ac:dyDescent="0.2">
      <c r="B35" s="176"/>
      <c r="C35" s="64" t="s">
        <v>33</v>
      </c>
      <c r="D35" s="67">
        <f>N11</f>
        <v>49.809000000000005</v>
      </c>
      <c r="E35" s="54">
        <f>'Hss-sp1_25'!G60*100</f>
        <v>55.854999999999997</v>
      </c>
      <c r="F35" s="53" t="s">
        <v>52</v>
      </c>
      <c r="H35" s="176"/>
      <c r="I35" s="64" t="s">
        <v>33</v>
      </c>
      <c r="J35" s="67">
        <f>N15</f>
        <v>29.456</v>
      </c>
      <c r="K35" s="54">
        <f>'Hss-sp2_25'!$G60*100</f>
        <v>61.57777777777779</v>
      </c>
      <c r="L35" s="53" t="s">
        <v>52</v>
      </c>
      <c r="N35" s="176"/>
      <c r="O35" s="64" t="s">
        <v>33</v>
      </c>
      <c r="P35" s="67">
        <f>N19</f>
        <v>35.137999999999998</v>
      </c>
      <c r="Q35" s="54">
        <f>'Hss-sp3_25'!G60*100</f>
        <v>55.53875</v>
      </c>
      <c r="R35" s="53" t="s">
        <v>52</v>
      </c>
    </row>
    <row r="36" spans="2:29" x14ac:dyDescent="0.2">
      <c r="B36" s="175">
        <v>40</v>
      </c>
      <c r="C36" s="62" t="s">
        <v>43</v>
      </c>
      <c r="D36" s="66">
        <f>'3_scenario_a5'!D41</f>
        <v>66.586000000000013</v>
      </c>
      <c r="E36" s="60">
        <f>'Hss-sp1_25'!C77</f>
        <v>116.37777777777779</v>
      </c>
      <c r="F36" s="72">
        <f>((E36-D36)/D36)</f>
        <v>0.74778148226020147</v>
      </c>
      <c r="H36" s="175">
        <v>40</v>
      </c>
      <c r="I36" s="62" t="s">
        <v>43</v>
      </c>
      <c r="J36" s="66">
        <f>sp2_25_a40!D41</f>
        <v>102.81400000000001</v>
      </c>
      <c r="K36" s="60">
        <f>'Hss-sp2_25'!$C77</f>
        <v>133.57777777777778</v>
      </c>
      <c r="L36" s="72">
        <f>((K36-J36)/J36)</f>
        <v>0.29921778918997194</v>
      </c>
      <c r="N36" s="175">
        <v>40</v>
      </c>
      <c r="O36" s="62" t="s">
        <v>43</v>
      </c>
      <c r="P36" s="66">
        <f>sp3_25_a40!D41</f>
        <v>142.89699999999999</v>
      </c>
      <c r="Q36" s="60">
        <f>'Hss-sp3_25'!C77</f>
        <v>158.07111111111112</v>
      </c>
      <c r="R36" s="72">
        <f>((Q36-P36)/P36)</f>
        <v>0.10618915100464763</v>
      </c>
    </row>
    <row r="37" spans="2:29" x14ac:dyDescent="0.2">
      <c r="B37" s="176"/>
      <c r="C37" s="63" t="s">
        <v>32</v>
      </c>
      <c r="D37" s="67">
        <f>M12</f>
        <v>56.036999999999999</v>
      </c>
      <c r="E37" s="54">
        <f>'Hss-sp1_25'!F77*100</f>
        <v>63.93555555555556</v>
      </c>
      <c r="F37" s="55" t="s">
        <v>52</v>
      </c>
      <c r="H37" s="176"/>
      <c r="I37" s="63" t="s">
        <v>32</v>
      </c>
      <c r="J37" s="67">
        <f>M16</f>
        <v>59.355000000000004</v>
      </c>
      <c r="K37" s="54">
        <f>'Hss-sp2_25'!$F77*100</f>
        <v>68.450000000000017</v>
      </c>
      <c r="L37" s="55" t="s">
        <v>52</v>
      </c>
      <c r="N37" s="176"/>
      <c r="O37" s="63" t="s">
        <v>32</v>
      </c>
      <c r="P37" s="67">
        <f>M20</f>
        <v>60.375</v>
      </c>
      <c r="Q37" s="54">
        <f>'Hss-sp3_25'!F77*100</f>
        <v>65.951111111111103</v>
      </c>
      <c r="R37" s="55" t="s">
        <v>52</v>
      </c>
    </row>
    <row r="38" spans="2:29" ht="17" thickBot="1" x14ac:dyDescent="0.25">
      <c r="B38" s="178"/>
      <c r="C38" s="65" t="s">
        <v>33</v>
      </c>
      <c r="D38" s="69">
        <f>N12</f>
        <v>26.884000000000004</v>
      </c>
      <c r="E38" s="56">
        <f>'Hss-sp1_25'!G77*100</f>
        <v>67.97999999999999</v>
      </c>
      <c r="F38" s="57" t="s">
        <v>52</v>
      </c>
      <c r="H38" s="178"/>
      <c r="I38" s="65" t="s">
        <v>33</v>
      </c>
      <c r="J38" s="69">
        <f>N16</f>
        <v>26.858000000000004</v>
      </c>
      <c r="K38" s="56">
        <f>'Hss-sp2_25'!$G77*100</f>
        <v>66.197499999999991</v>
      </c>
      <c r="L38" s="57" t="s">
        <v>52</v>
      </c>
      <c r="N38" s="178"/>
      <c r="O38" s="65" t="s">
        <v>33</v>
      </c>
      <c r="P38" s="69">
        <f>N20</f>
        <v>29.625</v>
      </c>
      <c r="Q38" s="56">
        <f>'Hss-sp3_25'!G77*100</f>
        <v>52.682857142857145</v>
      </c>
      <c r="R38" s="57" t="s">
        <v>52</v>
      </c>
      <c r="AC38" s="26"/>
    </row>
    <row r="39" spans="2:29" x14ac:dyDescent="0.2">
      <c r="C39" s="40"/>
      <c r="D39" s="40"/>
      <c r="E39" s="40"/>
      <c r="F39" s="40"/>
    </row>
    <row r="41" spans="2:29" x14ac:dyDescent="0.2">
      <c r="F41" s="48"/>
      <c r="R41" s="48"/>
    </row>
  </sheetData>
  <mergeCells count="31">
    <mergeCell ref="N27:N29"/>
    <mergeCell ref="N30:N32"/>
    <mergeCell ref="N33:N35"/>
    <mergeCell ref="N36:N38"/>
    <mergeCell ref="H33:H35"/>
    <mergeCell ref="B33:B35"/>
    <mergeCell ref="B36:B38"/>
    <mergeCell ref="H36:H38"/>
    <mergeCell ref="H24:L24"/>
    <mergeCell ref="N24:R24"/>
    <mergeCell ref="B24:F24"/>
    <mergeCell ref="H27:H29"/>
    <mergeCell ref="H30:H32"/>
    <mergeCell ref="B27:B29"/>
    <mergeCell ref="B30:B32"/>
    <mergeCell ref="B17:B20"/>
    <mergeCell ref="Q17:AC17"/>
    <mergeCell ref="Q6:AC6"/>
    <mergeCell ref="B7:F7"/>
    <mergeCell ref="G7:J7"/>
    <mergeCell ref="K7:N7"/>
    <mergeCell ref="Q7:U7"/>
    <mergeCell ref="V7:Y7"/>
    <mergeCell ref="Z7:AC7"/>
    <mergeCell ref="B9:B12"/>
    <mergeCell ref="Q10:U10"/>
    <mergeCell ref="B13:B16"/>
    <mergeCell ref="Q13:AC13"/>
    <mergeCell ref="Q14:U14"/>
    <mergeCell ref="V14:Y14"/>
    <mergeCell ref="Z14:AC14"/>
  </mergeCells>
  <conditionalFormatting sqref="E9:E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:G2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9:K2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1180-A89F-A14D-9D1B-847A1D346365}">
  <dimension ref="A1:R42"/>
  <sheetViews>
    <sheetView topLeftCell="A9" zoomScale="85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43.78906817851432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0.04</v>
      </c>
      <c r="C14">
        <v>79.37</v>
      </c>
      <c r="D14">
        <v>8.097E-2</v>
      </c>
      <c r="E14">
        <v>0.49890000000000001</v>
      </c>
      <c r="F14">
        <v>78.97</v>
      </c>
      <c r="G14" t="str">
        <f>IF(E14=0,"Yes","No")</f>
        <v>No</v>
      </c>
      <c r="H14">
        <v>99.5</v>
      </c>
      <c r="I14">
        <v>68.69</v>
      </c>
      <c r="J14">
        <v>1.1100000000000001</v>
      </c>
    </row>
    <row r="15" spans="1:18" x14ac:dyDescent="0.2">
      <c r="A15" s="10">
        <v>2</v>
      </c>
      <c r="B15">
        <v>0.04</v>
      </c>
      <c r="C15">
        <v>79.37</v>
      </c>
      <c r="D15">
        <v>8.8039999999999993E-2</v>
      </c>
      <c r="E15">
        <v>0.49890000000000001</v>
      </c>
      <c r="F15">
        <v>78.97</v>
      </c>
      <c r="G15" t="str">
        <f t="shared" ref="G15:G23" si="0">IF(E15=0,"Yes","No")</f>
        <v>No</v>
      </c>
      <c r="H15">
        <v>99.5</v>
      </c>
      <c r="I15">
        <v>73.8</v>
      </c>
      <c r="J15">
        <v>0.99</v>
      </c>
    </row>
    <row r="16" spans="1:18" x14ac:dyDescent="0.2">
      <c r="A16" s="10">
        <v>3</v>
      </c>
      <c r="B16">
        <v>0</v>
      </c>
      <c r="C16">
        <v>78.97</v>
      </c>
      <c r="D16">
        <v>8.3669999999999994E-2</v>
      </c>
      <c r="E16">
        <v>0</v>
      </c>
      <c r="F16">
        <v>78.97</v>
      </c>
      <c r="G16" t="str">
        <f t="shared" si="0"/>
        <v>Yes</v>
      </c>
      <c r="H16">
        <v>100</v>
      </c>
      <c r="I16">
        <v>73.209999999999994</v>
      </c>
    </row>
    <row r="17" spans="1:14" x14ac:dyDescent="0.2">
      <c r="A17" s="10">
        <v>4</v>
      </c>
      <c r="B17">
        <v>0</v>
      </c>
      <c r="C17">
        <v>78.97</v>
      </c>
      <c r="D17">
        <v>7.9430000000000001E-2</v>
      </c>
      <c r="E17">
        <v>0</v>
      </c>
      <c r="F17">
        <v>78.97</v>
      </c>
      <c r="G17" t="str">
        <f t="shared" si="0"/>
        <v>Yes</v>
      </c>
      <c r="H17">
        <v>100</v>
      </c>
      <c r="I17">
        <v>72.67</v>
      </c>
    </row>
    <row r="18" spans="1:14" x14ac:dyDescent="0.2">
      <c r="A18" s="10">
        <v>5</v>
      </c>
      <c r="B18">
        <v>0</v>
      </c>
      <c r="C18">
        <v>78.97</v>
      </c>
      <c r="D18">
        <v>0.101197</v>
      </c>
      <c r="E18">
        <v>0</v>
      </c>
      <c r="F18">
        <v>78.97</v>
      </c>
      <c r="G18" t="str">
        <f t="shared" si="0"/>
        <v>Yes</v>
      </c>
      <c r="H18">
        <v>100</v>
      </c>
      <c r="I18">
        <v>74.37</v>
      </c>
    </row>
    <row r="19" spans="1:14" x14ac:dyDescent="0.2">
      <c r="A19" s="10">
        <v>6</v>
      </c>
      <c r="B19" s="11"/>
      <c r="G19" t="str">
        <f t="shared" si="0"/>
        <v>Yes</v>
      </c>
    </row>
    <row r="20" spans="1:14" x14ac:dyDescent="0.2">
      <c r="A20" s="10">
        <v>7</v>
      </c>
      <c r="G20" t="str">
        <f t="shared" si="0"/>
        <v>Yes</v>
      </c>
    </row>
    <row r="21" spans="1:14" x14ac:dyDescent="0.2">
      <c r="A21" s="10">
        <v>8</v>
      </c>
      <c r="G21" t="str">
        <f t="shared" si="0"/>
        <v>Yes</v>
      </c>
    </row>
    <row r="22" spans="1:14" x14ac:dyDescent="0.2">
      <c r="A22" s="10">
        <v>9</v>
      </c>
      <c r="G22" t="str">
        <f t="shared" si="0"/>
        <v>Yes</v>
      </c>
    </row>
    <row r="23" spans="1:14" x14ac:dyDescent="0.2">
      <c r="A23" s="10">
        <v>10</v>
      </c>
      <c r="G23" t="str">
        <f t="shared" si="0"/>
        <v>Yes</v>
      </c>
    </row>
    <row r="25" spans="1:14" x14ac:dyDescent="0.2">
      <c r="A25" s="12" t="s">
        <v>18</v>
      </c>
      <c r="B25" s="12">
        <f>AVERAGE(B14:B23)</f>
        <v>1.6E-2</v>
      </c>
      <c r="C25" s="3">
        <f>AVERAGE(C14:C23)</f>
        <v>79.13</v>
      </c>
      <c r="D25" s="12">
        <f>AVERAGE(D14:D23)</f>
        <v>8.66614E-2</v>
      </c>
      <c r="E25" s="12">
        <f t="shared" ref="E25:F25" si="1">AVERAGE(E14:E23)</f>
        <v>0.19956000000000002</v>
      </c>
      <c r="F25" s="12">
        <f t="shared" si="1"/>
        <v>78.97</v>
      </c>
      <c r="G25" s="12">
        <f>(COUNTIF(G14:G23,"Yes")/10)*100</f>
        <v>80</v>
      </c>
      <c r="H25" s="12">
        <f>AVERAGE(H14:H23)</f>
        <v>99.8</v>
      </c>
      <c r="I25" s="12">
        <f>AVERAGE(I14:I23)</f>
        <v>72.548000000000002</v>
      </c>
      <c r="J25" s="12">
        <f>AVERAGE(J14:J23)</f>
        <v>1.05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0.20219891318083738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5</v>
      </c>
      <c r="C30">
        <v>0.72</v>
      </c>
      <c r="D30">
        <v>44.98</v>
      </c>
      <c r="E30">
        <v>1976</v>
      </c>
      <c r="F30">
        <v>2.3698000000000001</v>
      </c>
      <c r="G30">
        <v>43.92</v>
      </c>
      <c r="H30" t="str">
        <f>IF(F30=0,"Yes","No")</f>
        <v>No</v>
      </c>
      <c r="I30" s="49">
        <v>84.03</v>
      </c>
      <c r="J30" s="49">
        <v>90.11</v>
      </c>
      <c r="K30" s="49">
        <v>49.49</v>
      </c>
    </row>
    <row r="31" spans="1:14" x14ac:dyDescent="0.2">
      <c r="A31" s="10">
        <v>2</v>
      </c>
      <c r="B31">
        <v>5</v>
      </c>
      <c r="C31">
        <v>1.1200000000000001</v>
      </c>
      <c r="D31">
        <v>51.98</v>
      </c>
      <c r="E31">
        <v>2850</v>
      </c>
      <c r="F31">
        <v>5.0381</v>
      </c>
      <c r="G31">
        <v>49.36</v>
      </c>
      <c r="H31" t="str">
        <f t="shared" ref="H31:H39" si="2">IF(F31=0,"Yes","No")</f>
        <v>No</v>
      </c>
      <c r="I31" s="49">
        <v>77.25</v>
      </c>
      <c r="J31" s="49">
        <v>91.98</v>
      </c>
      <c r="K31" s="49">
        <v>62.2</v>
      </c>
    </row>
    <row r="32" spans="1:14" x14ac:dyDescent="0.2">
      <c r="A32" s="10">
        <v>3</v>
      </c>
      <c r="B32">
        <v>6</v>
      </c>
      <c r="C32">
        <v>0.56000000000000005</v>
      </c>
      <c r="D32">
        <v>65.459999999999994</v>
      </c>
      <c r="E32">
        <v>1800</v>
      </c>
      <c r="F32">
        <v>7.9375</v>
      </c>
      <c r="G32">
        <v>60.26</v>
      </c>
      <c r="H32" t="str">
        <f t="shared" si="2"/>
        <v>No</v>
      </c>
      <c r="I32" s="49">
        <v>89.89</v>
      </c>
      <c r="J32" s="49">
        <v>87.46</v>
      </c>
      <c r="K32" s="49">
        <v>38.880000000000003</v>
      </c>
    </row>
    <row r="33" spans="1:14" x14ac:dyDescent="0.2">
      <c r="A33" s="10">
        <v>4</v>
      </c>
      <c r="B33">
        <v>5</v>
      </c>
      <c r="C33">
        <v>0.88</v>
      </c>
      <c r="D33">
        <v>61.68</v>
      </c>
      <c r="E33">
        <v>1800</v>
      </c>
      <c r="F33">
        <v>5.5369000000000002</v>
      </c>
      <c r="G33">
        <v>58.27</v>
      </c>
      <c r="H33" t="str">
        <f t="shared" si="2"/>
        <v>No</v>
      </c>
      <c r="I33" s="49">
        <v>80.819999999999993</v>
      </c>
      <c r="J33" s="49">
        <v>90.15</v>
      </c>
      <c r="K33" s="49">
        <v>50.8</v>
      </c>
    </row>
    <row r="34" spans="1:14" x14ac:dyDescent="0.2">
      <c r="A34" s="10">
        <v>5</v>
      </c>
      <c r="B34">
        <v>5</v>
      </c>
      <c r="C34">
        <v>1.1599999999999999</v>
      </c>
      <c r="D34">
        <v>51.06</v>
      </c>
      <c r="E34">
        <v>1800</v>
      </c>
      <c r="F34">
        <v>3.5232000000000001</v>
      </c>
      <c r="G34">
        <v>49.26</v>
      </c>
      <c r="H34" t="str">
        <f t="shared" si="2"/>
        <v>No</v>
      </c>
      <c r="I34" s="49">
        <v>75.790000000000006</v>
      </c>
      <c r="J34" s="49">
        <v>92.62</v>
      </c>
      <c r="K34" s="49">
        <v>65.91</v>
      </c>
    </row>
    <row r="35" spans="1:14" x14ac:dyDescent="0.2">
      <c r="A35" s="10">
        <v>6</v>
      </c>
      <c r="H35" t="str">
        <f t="shared" si="2"/>
        <v>Yes</v>
      </c>
      <c r="I35" s="49"/>
      <c r="J35" s="49"/>
      <c r="K35" s="49"/>
    </row>
    <row r="36" spans="1:14" x14ac:dyDescent="0.2">
      <c r="A36" s="10">
        <v>7</v>
      </c>
      <c r="H36" t="str">
        <f t="shared" si="2"/>
        <v>Yes</v>
      </c>
      <c r="I36" s="49"/>
      <c r="J36" s="49"/>
      <c r="K36" s="49"/>
    </row>
    <row r="37" spans="1:14" x14ac:dyDescent="0.2">
      <c r="A37" s="10">
        <v>8</v>
      </c>
      <c r="H37" t="str">
        <f t="shared" si="2"/>
        <v>Yes</v>
      </c>
      <c r="I37" s="49"/>
      <c r="J37" s="49"/>
      <c r="K37" s="49"/>
    </row>
    <row r="38" spans="1:14" x14ac:dyDescent="0.2">
      <c r="A38" s="10">
        <v>9</v>
      </c>
      <c r="H38" t="str">
        <f t="shared" si="2"/>
        <v>Yes</v>
      </c>
      <c r="I38" s="49"/>
      <c r="J38" s="49"/>
      <c r="K38" s="49"/>
    </row>
    <row r="39" spans="1:14" x14ac:dyDescent="0.2">
      <c r="A39" s="10">
        <v>10</v>
      </c>
      <c r="H39" t="str">
        <f t="shared" si="2"/>
        <v>Yes</v>
      </c>
      <c r="I39" s="49"/>
      <c r="J39" s="49"/>
      <c r="K39" s="49"/>
    </row>
    <row r="41" spans="1:14" x14ac:dyDescent="0.2">
      <c r="A41" s="12" t="s">
        <v>18</v>
      </c>
      <c r="B41" s="12">
        <f>AVERAGE(B30:B39)</f>
        <v>5.2</v>
      </c>
      <c r="C41" s="12">
        <f>AVERAGE(C30:C39)</f>
        <v>0.88800000000000012</v>
      </c>
      <c r="D41" s="3">
        <f>AVERAGE(D30:D39)</f>
        <v>55.031999999999996</v>
      </c>
      <c r="E41" s="12">
        <f t="shared" ref="E41:G41" si="3">AVERAGE(E30:E39)</f>
        <v>2045.2</v>
      </c>
      <c r="F41" s="12">
        <f t="shared" si="3"/>
        <v>4.8811</v>
      </c>
      <c r="G41" s="12">
        <f t="shared" si="3"/>
        <v>52.213999999999999</v>
      </c>
      <c r="H41" s="12">
        <f>(COUNTIF(H30:H39,"Yes")/10)*100</f>
        <v>50</v>
      </c>
      <c r="I41" s="12">
        <f>AVERAGE(I30:I39)</f>
        <v>81.556000000000012</v>
      </c>
      <c r="J41" s="12">
        <f t="shared" ref="J41:K41" si="4">AVERAGE(J30:J39)</f>
        <v>90.464000000000013</v>
      </c>
      <c r="K41" s="12">
        <f t="shared" si="4"/>
        <v>53.455999999999996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5.1206570722488705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B727-82D4-D946-97E3-1B55C732FAA4}">
  <dimension ref="A1:R42"/>
  <sheetViews>
    <sheetView topLeftCell="A8" zoomScale="84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32.811974436596024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</v>
      </c>
      <c r="C14">
        <v>78.97</v>
      </c>
      <c r="D14">
        <v>0.23205000000000001</v>
      </c>
      <c r="E14">
        <v>0</v>
      </c>
      <c r="F14">
        <v>78.97</v>
      </c>
      <c r="G14" t="str">
        <f>IF(E14=0,"Yes","No")</f>
        <v>Yes</v>
      </c>
      <c r="H14">
        <v>100</v>
      </c>
      <c r="I14">
        <v>69.34</v>
      </c>
    </row>
    <row r="15" spans="1:18" x14ac:dyDescent="0.2">
      <c r="A15" s="10">
        <v>2</v>
      </c>
      <c r="B15">
        <v>0</v>
      </c>
      <c r="C15">
        <v>78.97</v>
      </c>
      <c r="D15">
        <v>0.10295</v>
      </c>
      <c r="E15">
        <v>0</v>
      </c>
      <c r="F15">
        <v>78.97</v>
      </c>
      <c r="G15" t="str">
        <f t="shared" ref="G15:G23" si="0">IF(E15=0,"Yes","No")</f>
        <v>Yes</v>
      </c>
      <c r="H15">
        <v>100</v>
      </c>
      <c r="I15">
        <v>71.7</v>
      </c>
    </row>
    <row r="16" spans="1:18" x14ac:dyDescent="0.2">
      <c r="A16" s="10">
        <v>3</v>
      </c>
      <c r="B16">
        <v>0</v>
      </c>
      <c r="C16">
        <v>78.97</v>
      </c>
      <c r="D16">
        <v>9.8799999999999999E-2</v>
      </c>
      <c r="E16">
        <v>0</v>
      </c>
      <c r="F16">
        <v>78.97</v>
      </c>
      <c r="G16" t="str">
        <f t="shared" si="0"/>
        <v>Yes</v>
      </c>
      <c r="H16">
        <v>100</v>
      </c>
      <c r="I16">
        <v>71.58</v>
      </c>
    </row>
    <row r="17" spans="1:14" x14ac:dyDescent="0.2">
      <c r="A17" s="10">
        <v>4</v>
      </c>
      <c r="B17">
        <v>0</v>
      </c>
      <c r="C17">
        <v>78.97</v>
      </c>
      <c r="D17">
        <v>9.4149999999999998E-2</v>
      </c>
      <c r="E17">
        <v>0</v>
      </c>
      <c r="F17">
        <v>78.97</v>
      </c>
      <c r="G17" t="str">
        <f t="shared" si="0"/>
        <v>Yes</v>
      </c>
      <c r="H17">
        <v>100</v>
      </c>
      <c r="I17">
        <v>69.540000000000006</v>
      </c>
    </row>
    <row r="18" spans="1:14" x14ac:dyDescent="0.2">
      <c r="A18" s="10">
        <v>5</v>
      </c>
      <c r="B18">
        <v>0</v>
      </c>
      <c r="C18">
        <v>78.97</v>
      </c>
      <c r="D18">
        <v>0.10786</v>
      </c>
      <c r="E18">
        <v>0</v>
      </c>
      <c r="F18">
        <v>78.97</v>
      </c>
      <c r="G18" t="str">
        <f t="shared" si="0"/>
        <v>Yes</v>
      </c>
      <c r="H18">
        <v>100</v>
      </c>
      <c r="I18">
        <v>74.63</v>
      </c>
    </row>
    <row r="19" spans="1:14" x14ac:dyDescent="0.2">
      <c r="A19" s="10">
        <v>6</v>
      </c>
      <c r="B19" s="11"/>
      <c r="G19" t="str">
        <f t="shared" si="0"/>
        <v>Yes</v>
      </c>
    </row>
    <row r="20" spans="1:14" x14ac:dyDescent="0.2">
      <c r="A20" s="10">
        <v>7</v>
      </c>
      <c r="G20" t="str">
        <f t="shared" si="0"/>
        <v>Yes</v>
      </c>
    </row>
    <row r="21" spans="1:14" x14ac:dyDescent="0.2">
      <c r="A21" s="10">
        <v>8</v>
      </c>
      <c r="G21" t="str">
        <f t="shared" si="0"/>
        <v>Yes</v>
      </c>
    </row>
    <row r="22" spans="1:14" x14ac:dyDescent="0.2">
      <c r="A22" s="10">
        <v>9</v>
      </c>
      <c r="G22" t="str">
        <f t="shared" si="0"/>
        <v>Yes</v>
      </c>
    </row>
    <row r="23" spans="1:14" x14ac:dyDescent="0.2">
      <c r="A23" s="10">
        <v>10</v>
      </c>
      <c r="G23" t="str">
        <f t="shared" si="0"/>
        <v>Yes</v>
      </c>
    </row>
    <row r="25" spans="1:14" x14ac:dyDescent="0.2">
      <c r="A25" s="12" t="s">
        <v>18</v>
      </c>
      <c r="B25" s="12">
        <f>AVERAGE(B14:B23)</f>
        <v>0</v>
      </c>
      <c r="C25" s="3">
        <f>AVERAGE(C14:C23)</f>
        <v>78.97</v>
      </c>
      <c r="D25" s="12">
        <f>AVERAGE(D14:D23)</f>
        <v>0.127162</v>
      </c>
      <c r="E25" s="12">
        <f t="shared" ref="E25:F25" si="1">AVERAGE(E14:E23)</f>
        <v>0</v>
      </c>
      <c r="F25" s="12">
        <f t="shared" si="1"/>
        <v>78.97</v>
      </c>
      <c r="G25" s="12">
        <f>(COUNTIF(G14:G23,"Yes")/10)*100</f>
        <v>100</v>
      </c>
      <c r="H25" s="12">
        <f>AVERAGE(H14:H23)</f>
        <v>100</v>
      </c>
      <c r="I25" s="12">
        <f>AVERAGE(I14:I23)</f>
        <v>71.358000000000004</v>
      </c>
      <c r="J25" s="12" t="e">
        <f>AVERAGE(J14:J23)</f>
        <v>#DIV/0!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0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5</v>
      </c>
      <c r="C30">
        <v>0.76</v>
      </c>
      <c r="D30">
        <v>45.06</v>
      </c>
      <c r="E30">
        <v>3949</v>
      </c>
      <c r="F30">
        <v>2.4739</v>
      </c>
      <c r="G30">
        <v>43.94</v>
      </c>
      <c r="H30" t="str">
        <f>IF(F30=0,"Yes","No")</f>
        <v>No</v>
      </c>
      <c r="I30" s="49">
        <v>83.89</v>
      </c>
      <c r="J30" s="49">
        <v>90.08</v>
      </c>
      <c r="K30" s="49">
        <v>46.79</v>
      </c>
    </row>
    <row r="31" spans="1:14" x14ac:dyDescent="0.2">
      <c r="A31" s="10">
        <v>2</v>
      </c>
      <c r="B31">
        <v>5</v>
      </c>
      <c r="C31">
        <v>1.1200000000000001</v>
      </c>
      <c r="D31">
        <v>52.28</v>
      </c>
      <c r="E31">
        <v>3611</v>
      </c>
      <c r="F31">
        <v>5.5659000000000001</v>
      </c>
      <c r="G31">
        <v>49.37</v>
      </c>
      <c r="H31" t="str">
        <f t="shared" ref="H31:H39" si="2">IF(F31=0,"Yes","No")</f>
        <v>No</v>
      </c>
      <c r="I31" s="49">
        <v>76.790000000000006</v>
      </c>
      <c r="J31" s="49">
        <v>91.63</v>
      </c>
      <c r="K31" s="49">
        <v>60.92</v>
      </c>
    </row>
    <row r="32" spans="1:14" x14ac:dyDescent="0.2">
      <c r="A32" s="10">
        <v>3</v>
      </c>
      <c r="B32">
        <v>8</v>
      </c>
      <c r="C32">
        <v>0.56000000000000005</v>
      </c>
      <c r="D32">
        <v>83.94</v>
      </c>
      <c r="E32">
        <v>3659</v>
      </c>
      <c r="F32">
        <v>28.866800000000001</v>
      </c>
      <c r="G32">
        <v>59.71</v>
      </c>
      <c r="H32" t="str">
        <f t="shared" si="2"/>
        <v>No</v>
      </c>
      <c r="I32" s="49">
        <v>91.63</v>
      </c>
      <c r="J32" s="49">
        <v>67.08</v>
      </c>
      <c r="K32" s="49">
        <v>33.090000000000003</v>
      </c>
    </row>
    <row r="33" spans="1:14" x14ac:dyDescent="0.2">
      <c r="A33" s="10">
        <v>4</v>
      </c>
      <c r="B33">
        <v>5</v>
      </c>
      <c r="C33">
        <v>0.96</v>
      </c>
      <c r="D33">
        <v>64.040000000000006</v>
      </c>
      <c r="E33">
        <v>1879</v>
      </c>
      <c r="F33">
        <v>10.3567</v>
      </c>
      <c r="G33">
        <v>57.41</v>
      </c>
      <c r="H33" t="str">
        <f t="shared" si="2"/>
        <v>No</v>
      </c>
      <c r="I33" s="49">
        <v>77.84</v>
      </c>
      <c r="J33" s="49">
        <v>86.2</v>
      </c>
      <c r="K33" s="49">
        <v>47.98</v>
      </c>
    </row>
    <row r="34" spans="1:14" x14ac:dyDescent="0.2">
      <c r="A34" s="10">
        <v>5</v>
      </c>
      <c r="B34">
        <v>5</v>
      </c>
      <c r="C34">
        <v>1.24</v>
      </c>
      <c r="D34">
        <v>51.98</v>
      </c>
      <c r="E34">
        <v>4981</v>
      </c>
      <c r="F34">
        <v>6.5940000000000003</v>
      </c>
      <c r="G34">
        <v>48.55</v>
      </c>
      <c r="H34" t="str">
        <f t="shared" si="2"/>
        <v>No</v>
      </c>
      <c r="I34" s="49">
        <v>74.45</v>
      </c>
      <c r="J34" s="49">
        <v>91.42</v>
      </c>
      <c r="K34" s="49">
        <v>65.55</v>
      </c>
    </row>
    <row r="35" spans="1:14" x14ac:dyDescent="0.2">
      <c r="A35" s="10">
        <v>6</v>
      </c>
      <c r="H35" t="str">
        <f t="shared" si="2"/>
        <v>Yes</v>
      </c>
      <c r="I35" s="49"/>
      <c r="J35" s="49"/>
      <c r="K35" s="49"/>
    </row>
    <row r="36" spans="1:14" x14ac:dyDescent="0.2">
      <c r="A36" s="10">
        <v>7</v>
      </c>
      <c r="H36" t="str">
        <f t="shared" si="2"/>
        <v>Yes</v>
      </c>
      <c r="I36" s="49"/>
      <c r="J36" s="49"/>
      <c r="K36" s="49"/>
    </row>
    <row r="37" spans="1:14" x14ac:dyDescent="0.2">
      <c r="A37" s="10">
        <v>8</v>
      </c>
      <c r="H37" t="str">
        <f t="shared" si="2"/>
        <v>Yes</v>
      </c>
      <c r="I37" s="49"/>
      <c r="J37" s="49"/>
      <c r="K37" s="49"/>
    </row>
    <row r="38" spans="1:14" x14ac:dyDescent="0.2">
      <c r="A38" s="10">
        <v>9</v>
      </c>
      <c r="H38" t="str">
        <f t="shared" si="2"/>
        <v>Yes</v>
      </c>
      <c r="I38" s="49"/>
      <c r="J38" s="49"/>
      <c r="K38" s="49"/>
    </row>
    <row r="39" spans="1:14" x14ac:dyDescent="0.2">
      <c r="A39" s="10">
        <v>10</v>
      </c>
      <c r="H39" t="str">
        <f t="shared" si="2"/>
        <v>Yes</v>
      </c>
      <c r="I39" s="49"/>
      <c r="J39" s="49"/>
      <c r="K39" s="49"/>
    </row>
    <row r="41" spans="1:14" x14ac:dyDescent="0.2">
      <c r="A41" s="12" t="s">
        <v>18</v>
      </c>
      <c r="B41" s="12">
        <f>AVERAGE(B30:B39)</f>
        <v>5.6</v>
      </c>
      <c r="C41" s="12">
        <f>AVERAGE(C30:C39)</f>
        <v>0.92800000000000016</v>
      </c>
      <c r="D41" s="3">
        <f>AVERAGE(D30:D39)</f>
        <v>59.46</v>
      </c>
      <c r="E41" s="12">
        <f t="shared" ref="E41:F41" si="3">AVERAGE(E30:E39)</f>
        <v>3615.8</v>
      </c>
      <c r="F41" s="12">
        <f t="shared" si="3"/>
        <v>10.771460000000001</v>
      </c>
      <c r="G41" s="12">
        <f>AVERAGE(G30:G39)</f>
        <v>51.796000000000006</v>
      </c>
      <c r="H41" s="12">
        <f>(COUNTIF(H30:H39,"Yes")/10)*100</f>
        <v>50</v>
      </c>
      <c r="I41" s="12">
        <f>AVERAGE(I30:I39)</f>
        <v>80.919999999999987</v>
      </c>
      <c r="J41" s="12">
        <f t="shared" ref="J41:K41" si="4">AVERAGE(J30:J39)</f>
        <v>85.281999999999996</v>
      </c>
      <c r="K41" s="12">
        <f t="shared" si="4"/>
        <v>50.866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12.889337369660266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6D8C-83C2-0E49-8088-C11D68741A18}">
  <dimension ref="A1:R42"/>
  <sheetViews>
    <sheetView topLeftCell="A3" zoomScale="83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22.722494218003753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</v>
      </c>
      <c r="C14">
        <v>78.97</v>
      </c>
      <c r="D14">
        <v>0.15081</v>
      </c>
      <c r="E14">
        <v>0</v>
      </c>
      <c r="F14">
        <v>78.97</v>
      </c>
      <c r="G14" t="str">
        <f>IF(E14=0,"Yes","No")</f>
        <v>Yes</v>
      </c>
      <c r="H14">
        <v>100</v>
      </c>
      <c r="I14">
        <v>60.93</v>
      </c>
    </row>
    <row r="15" spans="1:18" x14ac:dyDescent="0.2">
      <c r="A15" s="10">
        <v>2</v>
      </c>
      <c r="B15">
        <v>0</v>
      </c>
      <c r="C15">
        <v>78.97</v>
      </c>
      <c r="D15">
        <v>7.2450000000000001E-2</v>
      </c>
      <c r="E15">
        <v>0</v>
      </c>
      <c r="F15">
        <v>78.97</v>
      </c>
      <c r="G15" t="str">
        <f t="shared" ref="G15:G23" si="0">IF(E15=0,"Yes","No")</f>
        <v>Yes</v>
      </c>
      <c r="H15">
        <v>100</v>
      </c>
      <c r="I15">
        <v>57.44</v>
      </c>
    </row>
    <row r="16" spans="1:18" x14ac:dyDescent="0.2">
      <c r="A16" s="10">
        <v>3</v>
      </c>
      <c r="B16">
        <v>0</v>
      </c>
      <c r="C16">
        <v>78.97</v>
      </c>
      <c r="D16">
        <v>6.2280000000000002E-2</v>
      </c>
      <c r="E16">
        <v>0</v>
      </c>
      <c r="F16">
        <v>78.97</v>
      </c>
      <c r="G16" t="str">
        <f t="shared" si="0"/>
        <v>Yes</v>
      </c>
      <c r="H16">
        <v>100</v>
      </c>
      <c r="I16">
        <v>55.64</v>
      </c>
    </row>
    <row r="17" spans="1:14" x14ac:dyDescent="0.2">
      <c r="A17" s="10">
        <v>4</v>
      </c>
      <c r="B17">
        <v>1.33</v>
      </c>
      <c r="C17">
        <v>90.23</v>
      </c>
      <c r="D17">
        <v>1867.7201</v>
      </c>
      <c r="E17">
        <v>3.7033</v>
      </c>
      <c r="F17">
        <v>86.88</v>
      </c>
      <c r="G17" t="str">
        <f t="shared" si="0"/>
        <v>No</v>
      </c>
      <c r="H17">
        <v>87.52</v>
      </c>
      <c r="I17">
        <v>70.11</v>
      </c>
      <c r="J17">
        <v>35.630000000000003</v>
      </c>
    </row>
    <row r="18" spans="1:14" x14ac:dyDescent="0.2">
      <c r="A18" s="10">
        <v>5</v>
      </c>
      <c r="B18">
        <v>0.33</v>
      </c>
      <c r="C18">
        <v>81.44</v>
      </c>
      <c r="D18">
        <v>6.6954000000000002</v>
      </c>
      <c r="E18">
        <v>0</v>
      </c>
      <c r="F18">
        <v>81.44</v>
      </c>
      <c r="G18" t="str">
        <f t="shared" si="0"/>
        <v>Yes</v>
      </c>
      <c r="H18">
        <v>96.96</v>
      </c>
      <c r="I18">
        <v>55.18</v>
      </c>
      <c r="J18">
        <v>13.53</v>
      </c>
    </row>
    <row r="19" spans="1:14" x14ac:dyDescent="0.2">
      <c r="A19" s="10">
        <v>6</v>
      </c>
      <c r="B19" s="11"/>
      <c r="G19" t="str">
        <f t="shared" si="0"/>
        <v>Yes</v>
      </c>
    </row>
    <row r="20" spans="1:14" x14ac:dyDescent="0.2">
      <c r="A20" s="10">
        <v>7</v>
      </c>
      <c r="G20" t="str">
        <f t="shared" si="0"/>
        <v>Yes</v>
      </c>
    </row>
    <row r="21" spans="1:14" x14ac:dyDescent="0.2">
      <c r="A21" s="10">
        <v>8</v>
      </c>
      <c r="G21" t="str">
        <f t="shared" si="0"/>
        <v>Yes</v>
      </c>
    </row>
    <row r="22" spans="1:14" x14ac:dyDescent="0.2">
      <c r="A22" s="10">
        <v>9</v>
      </c>
      <c r="G22" t="str">
        <f t="shared" si="0"/>
        <v>Yes</v>
      </c>
    </row>
    <row r="23" spans="1:14" x14ac:dyDescent="0.2">
      <c r="A23" s="10">
        <v>10</v>
      </c>
      <c r="G23" t="str">
        <f t="shared" si="0"/>
        <v>Yes</v>
      </c>
    </row>
    <row r="25" spans="1:14" x14ac:dyDescent="0.2">
      <c r="A25" s="12" t="s">
        <v>18</v>
      </c>
      <c r="B25" s="12">
        <f>AVERAGE(B14:B23)</f>
        <v>0.33200000000000002</v>
      </c>
      <c r="C25" s="3">
        <f>AVERAGE(C14:C23)</f>
        <v>81.715999999999994</v>
      </c>
      <c r="D25" s="12">
        <f>AVERAGE(D14:D23)</f>
        <v>374.94020800000004</v>
      </c>
      <c r="E25" s="12">
        <f t="shared" ref="E25:F25" si="1">AVERAGE(E14:E23)</f>
        <v>0.74065999999999999</v>
      </c>
      <c r="F25" s="12">
        <f t="shared" si="1"/>
        <v>81.045999999999992</v>
      </c>
      <c r="G25" s="12">
        <f>(COUNTIF(G14:G23,"Yes")/10)*100</f>
        <v>90</v>
      </c>
      <c r="H25" s="12">
        <f>AVERAGE(H14:H23)</f>
        <v>96.895999999999987</v>
      </c>
      <c r="I25" s="12">
        <f>AVERAGE(I14:I23)</f>
        <v>59.86</v>
      </c>
      <c r="J25" s="12">
        <f>AVERAGE(J14:J23)</f>
        <v>24.580000000000002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0.81991286896079318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6</v>
      </c>
      <c r="C30">
        <v>1</v>
      </c>
      <c r="D30">
        <v>70.97</v>
      </c>
      <c r="E30">
        <v>1868</v>
      </c>
      <c r="F30">
        <v>32.065199999999997</v>
      </c>
      <c r="G30">
        <v>4.82</v>
      </c>
      <c r="H30" t="str">
        <f>IF(F30=0,"Yes","No")</f>
        <v>No</v>
      </c>
      <c r="I30" s="49">
        <v>73.489999999999995</v>
      </c>
      <c r="J30" s="49">
        <v>61.94</v>
      </c>
      <c r="K30" s="49">
        <v>57.08</v>
      </c>
    </row>
    <row r="31" spans="1:14" x14ac:dyDescent="0.2">
      <c r="A31" s="10">
        <v>2</v>
      </c>
      <c r="B31">
        <v>8</v>
      </c>
      <c r="C31">
        <v>2</v>
      </c>
      <c r="D31">
        <v>67.94</v>
      </c>
      <c r="E31">
        <v>2548</v>
      </c>
      <c r="F31">
        <v>27.330100000000002</v>
      </c>
      <c r="G31">
        <v>49.37</v>
      </c>
      <c r="H31" t="str">
        <f t="shared" ref="H31:H39" si="2">IF(F31=0,"Yes","No")</f>
        <v>No</v>
      </c>
      <c r="I31" s="49">
        <v>75.55</v>
      </c>
      <c r="J31" s="49">
        <v>71.06</v>
      </c>
      <c r="K31" s="49">
        <v>65.41</v>
      </c>
    </row>
    <row r="32" spans="1:14" x14ac:dyDescent="0.2">
      <c r="A32" s="10">
        <v>3</v>
      </c>
      <c r="B32">
        <v>6</v>
      </c>
      <c r="C32">
        <v>0.67</v>
      </c>
      <c r="D32">
        <v>53.87</v>
      </c>
      <c r="E32">
        <v>1933</v>
      </c>
      <c r="F32">
        <v>30.384399999999999</v>
      </c>
      <c r="G32">
        <v>37.5</v>
      </c>
      <c r="H32" t="str">
        <f t="shared" si="2"/>
        <v>No</v>
      </c>
      <c r="I32" s="49">
        <v>74.63</v>
      </c>
      <c r="J32" s="49">
        <v>52.73</v>
      </c>
      <c r="K32" s="49">
        <v>43.53</v>
      </c>
    </row>
    <row r="33" spans="1:14" x14ac:dyDescent="0.2">
      <c r="A33" s="10">
        <v>4</v>
      </c>
      <c r="B33">
        <v>8</v>
      </c>
      <c r="C33">
        <v>2.33</v>
      </c>
      <c r="D33">
        <v>84.43</v>
      </c>
      <c r="E33">
        <v>2276</v>
      </c>
      <c r="F33">
        <v>31.8995</v>
      </c>
      <c r="G33">
        <v>57.5</v>
      </c>
      <c r="H33" t="str">
        <f t="shared" si="2"/>
        <v>No</v>
      </c>
      <c r="I33" s="49">
        <v>69.03</v>
      </c>
      <c r="J33" s="49">
        <v>70.44</v>
      </c>
      <c r="K33" s="49">
        <v>73.540000000000006</v>
      </c>
    </row>
    <row r="34" spans="1:14" x14ac:dyDescent="0.2">
      <c r="A34" s="10">
        <v>5</v>
      </c>
      <c r="B34">
        <v>4</v>
      </c>
      <c r="C34">
        <v>3</v>
      </c>
      <c r="D34">
        <v>55.72</v>
      </c>
      <c r="E34">
        <v>1800</v>
      </c>
      <c r="F34">
        <v>36.597499999999997</v>
      </c>
      <c r="G34">
        <v>35.33</v>
      </c>
      <c r="H34" t="str">
        <f t="shared" si="2"/>
        <v>No</v>
      </c>
      <c r="I34" s="49">
        <v>59.46</v>
      </c>
      <c r="J34" s="49">
        <v>66.91</v>
      </c>
      <c r="K34" s="49">
        <v>63.7</v>
      </c>
    </row>
    <row r="35" spans="1:14" x14ac:dyDescent="0.2">
      <c r="A35" s="10">
        <v>6</v>
      </c>
      <c r="H35" t="str">
        <f t="shared" si="2"/>
        <v>Yes</v>
      </c>
      <c r="I35" s="49"/>
      <c r="J35" s="49"/>
      <c r="K35" s="49"/>
    </row>
    <row r="36" spans="1:14" x14ac:dyDescent="0.2">
      <c r="A36" s="10">
        <v>7</v>
      </c>
      <c r="H36" t="str">
        <f t="shared" si="2"/>
        <v>Yes</v>
      </c>
      <c r="I36" s="49"/>
      <c r="J36" s="49"/>
      <c r="K36" s="49"/>
    </row>
    <row r="37" spans="1:14" x14ac:dyDescent="0.2">
      <c r="A37" s="10">
        <v>8</v>
      </c>
      <c r="H37" t="str">
        <f t="shared" si="2"/>
        <v>Yes</v>
      </c>
      <c r="I37" s="49"/>
      <c r="J37" s="49"/>
      <c r="K37" s="49"/>
    </row>
    <row r="38" spans="1:14" x14ac:dyDescent="0.2">
      <c r="A38" s="10">
        <v>9</v>
      </c>
      <c r="H38" t="str">
        <f t="shared" si="2"/>
        <v>Yes</v>
      </c>
      <c r="I38" s="49"/>
      <c r="J38" s="49"/>
      <c r="K38" s="49"/>
    </row>
    <row r="39" spans="1:14" x14ac:dyDescent="0.2">
      <c r="A39" s="10">
        <v>10</v>
      </c>
      <c r="H39" t="str">
        <f t="shared" si="2"/>
        <v>Yes</v>
      </c>
      <c r="I39" s="49"/>
      <c r="J39" s="49"/>
      <c r="K39" s="49"/>
    </row>
    <row r="41" spans="1:14" x14ac:dyDescent="0.2">
      <c r="A41" s="12" t="s">
        <v>18</v>
      </c>
      <c r="B41" s="12">
        <f>AVERAGE(B30:B39)</f>
        <v>6.4</v>
      </c>
      <c r="C41" s="12">
        <f>AVERAGE(C30:C39)</f>
        <v>1.8</v>
      </c>
      <c r="D41" s="3">
        <f>AVERAGE(D30:D39)</f>
        <v>66.586000000000013</v>
      </c>
      <c r="E41" s="12">
        <f t="shared" ref="E41:G41" si="3">AVERAGE(E30:E39)</f>
        <v>2085</v>
      </c>
      <c r="F41" s="12">
        <f t="shared" si="3"/>
        <v>31.655340000000002</v>
      </c>
      <c r="G41" s="12">
        <f t="shared" si="3"/>
        <v>36.903999999999996</v>
      </c>
      <c r="H41" s="12">
        <f>(COUNTIF(H30:H39,"Yes")/10)*100</f>
        <v>50</v>
      </c>
      <c r="I41" s="12">
        <f>AVERAGE(I30:I39)</f>
        <v>70.431999999999988</v>
      </c>
      <c r="J41" s="12">
        <f t="shared" ref="J41:K41" si="4">AVERAGE(J30:J39)</f>
        <v>64.615999999999985</v>
      </c>
      <c r="K41" s="12">
        <f t="shared" si="4"/>
        <v>60.652000000000001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44.57693809509508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D5DF-A194-D644-8F9D-0F8C5B2E31C4}">
  <dimension ref="A1:R42"/>
  <sheetViews>
    <sheetView zoomScale="62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15.166884816753917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0.3</v>
      </c>
      <c r="C14">
        <v>81.599999999999994</v>
      </c>
      <c r="D14">
        <v>473.66</v>
      </c>
      <c r="E14">
        <v>0.90969999999999995</v>
      </c>
      <c r="F14">
        <v>80.86</v>
      </c>
      <c r="G14" t="str">
        <f>IF(E14=0,"Yes","No")</f>
        <v>No</v>
      </c>
      <c r="H14">
        <v>96.77</v>
      </c>
      <c r="I14">
        <v>60.46</v>
      </c>
      <c r="J14">
        <v>9.94</v>
      </c>
    </row>
    <row r="15" spans="1:18" x14ac:dyDescent="0.2">
      <c r="A15" s="10">
        <v>2</v>
      </c>
      <c r="B15">
        <v>0.5</v>
      </c>
      <c r="C15">
        <v>83.5</v>
      </c>
      <c r="D15">
        <v>1800</v>
      </c>
      <c r="E15">
        <v>1.377</v>
      </c>
      <c r="F15">
        <v>82.35</v>
      </c>
      <c r="G15" t="str">
        <f t="shared" ref="G15:G23" si="0">IF(E15=0,"Yes","No")</f>
        <v>No</v>
      </c>
      <c r="H15">
        <v>94.58</v>
      </c>
      <c r="I15">
        <v>59.44</v>
      </c>
      <c r="J15">
        <v>23.85</v>
      </c>
    </row>
    <row r="16" spans="1:18" x14ac:dyDescent="0.2">
      <c r="A16" s="10">
        <v>3</v>
      </c>
      <c r="B16">
        <v>0.8</v>
      </c>
      <c r="C16">
        <v>86.54</v>
      </c>
      <c r="D16">
        <v>3057</v>
      </c>
      <c r="E16">
        <v>5.4420000000000002</v>
      </c>
      <c r="F16">
        <v>81.83</v>
      </c>
      <c r="G16" t="str">
        <f t="shared" si="0"/>
        <v>No</v>
      </c>
      <c r="H16">
        <v>91.25</v>
      </c>
      <c r="I16">
        <v>59.12</v>
      </c>
      <c r="J16">
        <v>28.05</v>
      </c>
    </row>
    <row r="17" spans="1:14" x14ac:dyDescent="0.2">
      <c r="A17" s="10">
        <v>4</v>
      </c>
      <c r="B17">
        <v>0.7</v>
      </c>
      <c r="C17">
        <v>84.98</v>
      </c>
      <c r="D17">
        <v>1800</v>
      </c>
      <c r="E17">
        <v>2.1057999999999999</v>
      </c>
      <c r="F17">
        <v>83.19</v>
      </c>
      <c r="G17" t="str">
        <f t="shared" si="0"/>
        <v>No</v>
      </c>
      <c r="H17">
        <v>92.93</v>
      </c>
      <c r="I17">
        <v>63.27</v>
      </c>
      <c r="J17">
        <v>23.87</v>
      </c>
    </row>
    <row r="18" spans="1:14" x14ac:dyDescent="0.2">
      <c r="A18" s="10">
        <v>5</v>
      </c>
      <c r="B18">
        <v>0.8</v>
      </c>
      <c r="C18">
        <v>85.72</v>
      </c>
      <c r="D18">
        <v>1800</v>
      </c>
      <c r="E18">
        <v>3.4639000000000002</v>
      </c>
      <c r="F18">
        <v>82.75</v>
      </c>
      <c r="G18" t="str">
        <f t="shared" si="0"/>
        <v>No</v>
      </c>
      <c r="H18">
        <v>92.12</v>
      </c>
      <c r="I18">
        <v>61.92</v>
      </c>
      <c r="J18">
        <v>26.7</v>
      </c>
    </row>
    <row r="19" spans="1:14" x14ac:dyDescent="0.2">
      <c r="A19" s="10">
        <v>6</v>
      </c>
      <c r="B19" s="11"/>
      <c r="G19" t="str">
        <f t="shared" si="0"/>
        <v>Yes</v>
      </c>
    </row>
    <row r="20" spans="1:14" x14ac:dyDescent="0.2">
      <c r="A20" s="10">
        <v>7</v>
      </c>
      <c r="G20" t="str">
        <f t="shared" si="0"/>
        <v>Yes</v>
      </c>
    </row>
    <row r="21" spans="1:14" x14ac:dyDescent="0.2">
      <c r="A21" s="10">
        <v>8</v>
      </c>
      <c r="G21" t="str">
        <f t="shared" si="0"/>
        <v>Yes</v>
      </c>
    </row>
    <row r="22" spans="1:14" x14ac:dyDescent="0.2">
      <c r="A22" s="10">
        <v>9</v>
      </c>
      <c r="G22" t="str">
        <f t="shared" si="0"/>
        <v>Yes</v>
      </c>
    </row>
    <row r="23" spans="1:14" x14ac:dyDescent="0.2">
      <c r="A23" s="10">
        <v>10</v>
      </c>
      <c r="G23" t="str">
        <f t="shared" si="0"/>
        <v>Yes</v>
      </c>
    </row>
    <row r="25" spans="1:14" x14ac:dyDescent="0.2">
      <c r="A25" s="12" t="s">
        <v>18</v>
      </c>
      <c r="B25" s="12">
        <f>AVERAGE(B14:B23)</f>
        <v>0.61999999999999988</v>
      </c>
      <c r="C25" s="3">
        <f>AVERAGE(C14:C23)</f>
        <v>84.468000000000004</v>
      </c>
      <c r="D25" s="12">
        <f>AVERAGE(D14:D23)</f>
        <v>1786.1320000000001</v>
      </c>
      <c r="E25" s="12">
        <f t="shared" ref="E25:F25" si="1">AVERAGE(E14:E23)</f>
        <v>2.6596800000000003</v>
      </c>
      <c r="F25" s="12">
        <f t="shared" si="1"/>
        <v>82.195999999999998</v>
      </c>
      <c r="G25" s="12">
        <f>(COUNTIF(G14:G23,"Yes")/10)*100</f>
        <v>50</v>
      </c>
      <c r="H25" s="12">
        <f>AVERAGE(H14:H23)</f>
        <v>93.53</v>
      </c>
      <c r="I25" s="12">
        <f>AVERAGE(I14:I23)</f>
        <v>60.842000000000006</v>
      </c>
      <c r="J25" s="12">
        <f>AVERAGE(J14:J23)</f>
        <v>22.482000000000003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2.6897760098498904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5</v>
      </c>
      <c r="C30">
        <v>2.5</v>
      </c>
      <c r="D30">
        <v>76.540000000000006</v>
      </c>
      <c r="E30">
        <v>2577</v>
      </c>
      <c r="F30">
        <v>33.858699999999999</v>
      </c>
      <c r="G30">
        <v>50.62</v>
      </c>
      <c r="H30" t="str">
        <f>IF(F30=0,"Yes","No")</f>
        <v>No</v>
      </c>
      <c r="I30" s="49">
        <v>68.14</v>
      </c>
      <c r="J30" s="49">
        <v>60.27</v>
      </c>
      <c r="K30" s="49">
        <v>58.89</v>
      </c>
    </row>
    <row r="31" spans="1:14" x14ac:dyDescent="0.2">
      <c r="A31" s="10">
        <v>2</v>
      </c>
      <c r="B31">
        <v>7</v>
      </c>
      <c r="C31">
        <v>2.8</v>
      </c>
      <c r="D31">
        <v>78.64</v>
      </c>
      <c r="E31">
        <v>1800</v>
      </c>
      <c r="F31">
        <v>31.331700000000001</v>
      </c>
      <c r="G31">
        <v>53.4</v>
      </c>
      <c r="H31" t="str">
        <f t="shared" ref="H31:H39" si="2">IF(F31=0,"Yes","No")</f>
        <v>No</v>
      </c>
      <c r="I31" s="49">
        <v>76.489999999999995</v>
      </c>
      <c r="J31" s="49">
        <v>71.05</v>
      </c>
      <c r="K31" s="49">
        <v>57.55</v>
      </c>
    </row>
    <row r="32" spans="1:14" x14ac:dyDescent="0.2">
      <c r="A32" s="10">
        <v>3</v>
      </c>
      <c r="B32">
        <v>6</v>
      </c>
      <c r="C32">
        <v>2</v>
      </c>
      <c r="D32">
        <v>65.53</v>
      </c>
      <c r="E32">
        <v>2265</v>
      </c>
      <c r="F32">
        <v>32.862900000000003</v>
      </c>
      <c r="G32">
        <v>43.4</v>
      </c>
      <c r="H32" t="str">
        <f t="shared" si="2"/>
        <v>No</v>
      </c>
      <c r="I32" s="49">
        <v>73.61</v>
      </c>
      <c r="J32" s="49">
        <v>55.24</v>
      </c>
      <c r="K32" s="49">
        <v>40.17</v>
      </c>
    </row>
    <row r="33" spans="1:14" x14ac:dyDescent="0.2">
      <c r="A33" s="10">
        <v>4</v>
      </c>
      <c r="B33">
        <v>5</v>
      </c>
      <c r="C33">
        <v>3.5</v>
      </c>
      <c r="D33">
        <v>76.75</v>
      </c>
      <c r="E33">
        <v>1800</v>
      </c>
      <c r="F33">
        <v>33.529400000000003</v>
      </c>
      <c r="G33">
        <v>51.02</v>
      </c>
      <c r="H33" t="str">
        <f t="shared" si="2"/>
        <v>No</v>
      </c>
      <c r="I33" s="49">
        <v>65.8</v>
      </c>
      <c r="J33" s="49">
        <v>63.87</v>
      </c>
      <c r="K33" s="49">
        <v>61.8</v>
      </c>
    </row>
    <row r="34" spans="1:14" x14ac:dyDescent="0.2">
      <c r="A34" s="10">
        <v>5</v>
      </c>
      <c r="B34">
        <v>7</v>
      </c>
      <c r="C34">
        <v>2.5</v>
      </c>
      <c r="D34">
        <v>69.260000000000005</v>
      </c>
      <c r="E34">
        <v>2077</v>
      </c>
      <c r="F34">
        <v>40.068899999999999</v>
      </c>
      <c r="G34">
        <v>41.51</v>
      </c>
      <c r="H34" t="str">
        <f t="shared" si="2"/>
        <v>No</v>
      </c>
      <c r="I34" s="49">
        <v>72.19</v>
      </c>
      <c r="J34" s="49">
        <v>64.34</v>
      </c>
      <c r="K34" s="49">
        <v>58.23</v>
      </c>
    </row>
    <row r="35" spans="1:14" x14ac:dyDescent="0.2">
      <c r="A35" s="10">
        <v>6</v>
      </c>
      <c r="H35" t="str">
        <f t="shared" si="2"/>
        <v>Yes</v>
      </c>
      <c r="I35" s="49"/>
      <c r="J35" s="49"/>
      <c r="K35" s="49"/>
    </row>
    <row r="36" spans="1:14" x14ac:dyDescent="0.2">
      <c r="A36" s="10">
        <v>7</v>
      </c>
      <c r="H36" t="str">
        <f t="shared" si="2"/>
        <v>Yes</v>
      </c>
      <c r="I36" s="49"/>
      <c r="J36" s="49"/>
      <c r="K36" s="49"/>
    </row>
    <row r="37" spans="1:14" x14ac:dyDescent="0.2">
      <c r="A37" s="10">
        <v>8</v>
      </c>
      <c r="H37" t="str">
        <f t="shared" si="2"/>
        <v>Yes</v>
      </c>
      <c r="I37" s="49"/>
      <c r="J37" s="49"/>
      <c r="K37" s="49"/>
    </row>
    <row r="38" spans="1:14" x14ac:dyDescent="0.2">
      <c r="A38" s="10">
        <v>9</v>
      </c>
      <c r="H38" t="str">
        <f t="shared" si="2"/>
        <v>Yes</v>
      </c>
      <c r="I38" s="49"/>
      <c r="J38" s="49"/>
      <c r="K38" s="49"/>
    </row>
    <row r="39" spans="1:14" x14ac:dyDescent="0.2">
      <c r="A39" s="10">
        <v>10</v>
      </c>
      <c r="H39" t="str">
        <f t="shared" si="2"/>
        <v>Yes</v>
      </c>
      <c r="I39" s="49"/>
      <c r="J39" s="49"/>
      <c r="K39" s="49"/>
    </row>
    <row r="41" spans="1:14" x14ac:dyDescent="0.2">
      <c r="A41" s="12" t="s">
        <v>18</v>
      </c>
      <c r="B41" s="12">
        <f>AVERAGE(B30:B39)</f>
        <v>6</v>
      </c>
      <c r="C41" s="12">
        <f>AVERAGE(C30:C39)</f>
        <v>2.66</v>
      </c>
      <c r="D41" s="3">
        <f>AVERAGE(D30:D39)</f>
        <v>73.344000000000008</v>
      </c>
      <c r="E41" s="12">
        <f t="shared" ref="E41:G41" si="3">AVERAGE(E30:E39)</f>
        <v>2103.8000000000002</v>
      </c>
      <c r="F41" s="12">
        <f t="shared" si="3"/>
        <v>34.330320000000007</v>
      </c>
      <c r="G41" s="12">
        <f t="shared" si="3"/>
        <v>47.989999999999995</v>
      </c>
      <c r="H41" s="12">
        <f>(COUNTIF(H30:H39,"Yes")/10)*100</f>
        <v>50</v>
      </c>
      <c r="I41" s="12">
        <f>AVERAGE(I30:I39)</f>
        <v>71.246000000000009</v>
      </c>
      <c r="J41" s="12">
        <f t="shared" ref="J41:K41" si="4">AVERAGE(J30:J39)</f>
        <v>62.953999999999994</v>
      </c>
      <c r="K41" s="12">
        <f t="shared" si="4"/>
        <v>55.32800000000001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34.568608202443293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14DE-C116-6441-9FEF-0AFBD7EC3976}">
  <dimension ref="A1:R42"/>
  <sheetViews>
    <sheetView zoomScale="75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6.5172775868652204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0.67</v>
      </c>
      <c r="C14">
        <v>85.57</v>
      </c>
      <c r="D14">
        <v>12.99</v>
      </c>
      <c r="E14">
        <v>0</v>
      </c>
      <c r="F14">
        <v>85.57</v>
      </c>
      <c r="G14" t="str">
        <f>IF(E14=0,"Yes","No")</f>
        <v>Yes</v>
      </c>
      <c r="H14">
        <v>92.29</v>
      </c>
      <c r="I14">
        <v>69.86</v>
      </c>
      <c r="J14">
        <v>37.31</v>
      </c>
    </row>
    <row r="15" spans="1:18" x14ac:dyDescent="0.2">
      <c r="A15" s="10">
        <v>2</v>
      </c>
      <c r="B15">
        <v>0.33</v>
      </c>
      <c r="C15">
        <v>82.27</v>
      </c>
      <c r="D15">
        <v>3.27</v>
      </c>
      <c r="E15">
        <v>0</v>
      </c>
      <c r="F15">
        <v>82.27</v>
      </c>
      <c r="G15" t="str">
        <f t="shared" ref="G15:G23" si="0">IF(E15=0,"Yes","No")</f>
        <v>Yes</v>
      </c>
      <c r="H15">
        <v>95.99</v>
      </c>
      <c r="I15">
        <v>58.47</v>
      </c>
      <c r="J15">
        <v>23.73</v>
      </c>
    </row>
    <row r="16" spans="1:18" x14ac:dyDescent="0.2">
      <c r="A16" s="10">
        <v>3</v>
      </c>
      <c r="B16">
        <v>0.67</v>
      </c>
      <c r="C16">
        <v>87.38</v>
      </c>
      <c r="D16">
        <v>2421.7800000000002</v>
      </c>
      <c r="E16">
        <v>3.7759</v>
      </c>
      <c r="F16">
        <v>84.08</v>
      </c>
      <c r="G16" t="str">
        <f t="shared" si="0"/>
        <v>No</v>
      </c>
      <c r="H16">
        <v>90.38</v>
      </c>
      <c r="I16">
        <v>64.180000000000007</v>
      </c>
      <c r="J16">
        <v>18.68</v>
      </c>
    </row>
    <row r="17" spans="1:14" x14ac:dyDescent="0.2">
      <c r="A17" s="10">
        <v>4</v>
      </c>
      <c r="B17">
        <v>0.67</v>
      </c>
      <c r="C17">
        <v>87.38</v>
      </c>
      <c r="D17">
        <v>5010</v>
      </c>
      <c r="E17">
        <v>6.9288999999999996</v>
      </c>
      <c r="F17">
        <v>81.319999999999993</v>
      </c>
      <c r="G17" t="str">
        <f t="shared" si="0"/>
        <v>No</v>
      </c>
      <c r="H17">
        <v>90.38</v>
      </c>
      <c r="I17">
        <v>60.65</v>
      </c>
      <c r="J17">
        <v>20.190000000000001</v>
      </c>
    </row>
    <row r="18" spans="1:14" x14ac:dyDescent="0.2">
      <c r="A18" s="10">
        <v>5</v>
      </c>
      <c r="B18">
        <v>2</v>
      </c>
      <c r="C18">
        <v>103.75</v>
      </c>
      <c r="D18">
        <v>5259</v>
      </c>
      <c r="E18">
        <v>23.887799999999999</v>
      </c>
      <c r="F18">
        <v>78.97</v>
      </c>
      <c r="G18" t="str">
        <f t="shared" si="0"/>
        <v>No</v>
      </c>
      <c r="H18">
        <v>76.11</v>
      </c>
      <c r="I18">
        <v>69</v>
      </c>
      <c r="J18">
        <v>41.93</v>
      </c>
    </row>
    <row r="19" spans="1:14" x14ac:dyDescent="0.2">
      <c r="A19" s="10">
        <v>6</v>
      </c>
      <c r="B19" s="11"/>
      <c r="G19" t="str">
        <f t="shared" si="0"/>
        <v>Yes</v>
      </c>
    </row>
    <row r="20" spans="1:14" x14ac:dyDescent="0.2">
      <c r="A20" s="10">
        <v>7</v>
      </c>
      <c r="G20" t="str">
        <f t="shared" si="0"/>
        <v>Yes</v>
      </c>
    </row>
    <row r="21" spans="1:14" x14ac:dyDescent="0.2">
      <c r="A21" s="10">
        <v>8</v>
      </c>
      <c r="G21" t="str">
        <f t="shared" si="0"/>
        <v>Yes</v>
      </c>
    </row>
    <row r="22" spans="1:14" x14ac:dyDescent="0.2">
      <c r="A22" s="10">
        <v>9</v>
      </c>
      <c r="G22" t="str">
        <f t="shared" si="0"/>
        <v>Yes</v>
      </c>
    </row>
    <row r="23" spans="1:14" x14ac:dyDescent="0.2">
      <c r="A23" s="10">
        <v>10</v>
      </c>
      <c r="G23" t="str">
        <f t="shared" si="0"/>
        <v>Yes</v>
      </c>
    </row>
    <row r="25" spans="1:14" x14ac:dyDescent="0.2">
      <c r="A25" s="12" t="s">
        <v>18</v>
      </c>
      <c r="B25" s="12">
        <f>AVERAGE(B14:B23)</f>
        <v>0.86799999999999999</v>
      </c>
      <c r="C25" s="3">
        <f>AVERAGE(C14:C23)</f>
        <v>89.27</v>
      </c>
      <c r="D25" s="12">
        <f>AVERAGE(D14:D23)</f>
        <v>2541.4080000000004</v>
      </c>
      <c r="E25" s="12">
        <f t="shared" ref="E25:F25" si="1">AVERAGE(E14:E23)</f>
        <v>6.9185199999999991</v>
      </c>
      <c r="F25" s="12">
        <f t="shared" si="1"/>
        <v>82.441999999999979</v>
      </c>
      <c r="G25" s="12">
        <f>(COUNTIF(G14:G23,"Yes")/10)*100</f>
        <v>70</v>
      </c>
      <c r="H25" s="12">
        <f>AVERAGE(H14:H23)</f>
        <v>89.03</v>
      </c>
      <c r="I25" s="12">
        <f>AVERAGE(I14:I23)</f>
        <v>64.431999999999988</v>
      </c>
      <c r="J25" s="12">
        <f>AVERAGE(J14:J23)</f>
        <v>28.368000000000002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7.6487061722863414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8</v>
      </c>
      <c r="C30">
        <v>0.33</v>
      </c>
      <c r="D30">
        <v>67.209999999999994</v>
      </c>
      <c r="E30">
        <v>2137</v>
      </c>
      <c r="F30">
        <v>30.8171</v>
      </c>
      <c r="G30">
        <v>46.5</v>
      </c>
      <c r="H30" t="str">
        <f>IF(F30=0,"Yes","No")</f>
        <v>No</v>
      </c>
      <c r="I30" s="49">
        <v>94.97</v>
      </c>
      <c r="J30" s="49">
        <v>60.36</v>
      </c>
      <c r="K30" s="49">
        <v>3.56</v>
      </c>
    </row>
    <row r="31" spans="1:14" x14ac:dyDescent="0.2">
      <c r="A31" s="10">
        <v>2</v>
      </c>
      <c r="B31">
        <v>6</v>
      </c>
      <c r="C31">
        <v>1.33</v>
      </c>
      <c r="D31">
        <v>61.63</v>
      </c>
      <c r="E31">
        <v>2653</v>
      </c>
      <c r="F31">
        <v>34.5426</v>
      </c>
      <c r="G31">
        <v>40.340000000000003</v>
      </c>
      <c r="H31" t="str">
        <f t="shared" ref="H31:H39" si="2">IF(F31=0,"Yes","No")</f>
        <v>No</v>
      </c>
      <c r="I31" s="49">
        <v>78.86</v>
      </c>
      <c r="J31" s="49">
        <v>61.6</v>
      </c>
      <c r="K31" s="49">
        <v>52.16</v>
      </c>
    </row>
    <row r="32" spans="1:14" x14ac:dyDescent="0.2">
      <c r="A32" s="10">
        <v>3</v>
      </c>
      <c r="B32">
        <v>8</v>
      </c>
      <c r="C32">
        <v>1</v>
      </c>
      <c r="D32">
        <v>76.41</v>
      </c>
      <c r="E32">
        <v>2007</v>
      </c>
      <c r="F32">
        <v>37.904499999999999</v>
      </c>
      <c r="G32">
        <v>47.45</v>
      </c>
      <c r="H32" t="str">
        <f t="shared" si="2"/>
        <v>No</v>
      </c>
      <c r="I32" s="49">
        <v>88.49</v>
      </c>
      <c r="J32" s="49">
        <v>61.16</v>
      </c>
      <c r="K32" s="49">
        <v>16.670000000000002</v>
      </c>
    </row>
    <row r="33" spans="1:14" x14ac:dyDescent="0.2">
      <c r="A33" s="10">
        <v>4</v>
      </c>
      <c r="B33">
        <v>8</v>
      </c>
      <c r="C33">
        <v>1</v>
      </c>
      <c r="D33">
        <v>97.46</v>
      </c>
      <c r="E33">
        <v>1811</v>
      </c>
      <c r="F33">
        <v>36.396900000000002</v>
      </c>
      <c r="G33">
        <v>61.99</v>
      </c>
      <c r="H33" t="str">
        <f t="shared" si="2"/>
        <v>No</v>
      </c>
      <c r="I33" s="49">
        <v>85.06</v>
      </c>
      <c r="J33" s="49">
        <v>62.11</v>
      </c>
      <c r="K33" s="49">
        <v>18.440000000000001</v>
      </c>
    </row>
    <row r="34" spans="1:14" x14ac:dyDescent="0.2">
      <c r="A34" s="10">
        <v>5</v>
      </c>
      <c r="B34">
        <v>9</v>
      </c>
      <c r="C34">
        <v>1.33</v>
      </c>
      <c r="D34">
        <v>116.33</v>
      </c>
      <c r="E34">
        <v>1899</v>
      </c>
      <c r="F34">
        <v>35.1325</v>
      </c>
      <c r="G34">
        <v>75.459999999999994</v>
      </c>
      <c r="H34" t="str">
        <f t="shared" si="2"/>
        <v>No</v>
      </c>
      <c r="I34" s="49">
        <v>83.63</v>
      </c>
      <c r="J34" s="49">
        <v>61.62</v>
      </c>
      <c r="K34" s="49">
        <v>44.25</v>
      </c>
    </row>
    <row r="35" spans="1:14" x14ac:dyDescent="0.2">
      <c r="A35" s="10">
        <v>6</v>
      </c>
      <c r="H35" t="str">
        <f t="shared" si="2"/>
        <v>Yes</v>
      </c>
      <c r="I35" s="49"/>
      <c r="J35" s="49"/>
      <c r="K35" s="49"/>
    </row>
    <row r="36" spans="1:14" x14ac:dyDescent="0.2">
      <c r="A36" s="10">
        <v>7</v>
      </c>
      <c r="H36" t="str">
        <f t="shared" si="2"/>
        <v>Yes</v>
      </c>
      <c r="I36" s="49"/>
      <c r="J36" s="49"/>
      <c r="K36" s="49"/>
    </row>
    <row r="37" spans="1:14" x14ac:dyDescent="0.2">
      <c r="A37" s="10">
        <v>8</v>
      </c>
      <c r="H37" t="str">
        <f t="shared" si="2"/>
        <v>Yes</v>
      </c>
      <c r="I37" s="49"/>
      <c r="J37" s="49"/>
      <c r="K37" s="49"/>
    </row>
    <row r="38" spans="1:14" x14ac:dyDescent="0.2">
      <c r="A38" s="10">
        <v>9</v>
      </c>
      <c r="H38" t="str">
        <f t="shared" si="2"/>
        <v>Yes</v>
      </c>
      <c r="I38" s="49"/>
      <c r="J38" s="49"/>
      <c r="K38" s="49"/>
    </row>
    <row r="39" spans="1:14" x14ac:dyDescent="0.2">
      <c r="A39" s="10">
        <v>10</v>
      </c>
      <c r="H39" t="str">
        <f t="shared" si="2"/>
        <v>Yes</v>
      </c>
      <c r="I39" s="49"/>
      <c r="J39" s="49"/>
      <c r="K39" s="49"/>
    </row>
    <row r="41" spans="1:14" x14ac:dyDescent="0.2">
      <c r="A41" s="12" t="s">
        <v>18</v>
      </c>
      <c r="B41" s="12">
        <f>AVERAGE(B30:B39)</f>
        <v>7.8</v>
      </c>
      <c r="C41" s="12">
        <f>AVERAGE(C30:C39)</f>
        <v>0.998</v>
      </c>
      <c r="D41" s="3">
        <f>AVERAGE(D30:D39)</f>
        <v>83.807999999999993</v>
      </c>
      <c r="E41" s="12">
        <f t="shared" ref="E41:G41" si="3">AVERAGE(E30:E39)</f>
        <v>2101.4</v>
      </c>
      <c r="F41" s="12">
        <f t="shared" si="3"/>
        <v>34.95872</v>
      </c>
      <c r="G41" s="12">
        <f t="shared" si="3"/>
        <v>54.347999999999999</v>
      </c>
      <c r="H41" s="12">
        <f>(COUNTIF(H30:H39,"Yes")/10)*100</f>
        <v>50</v>
      </c>
      <c r="I41" s="12">
        <f>AVERAGE(I30:I39)</f>
        <v>86.201999999999998</v>
      </c>
      <c r="J41" s="12">
        <f t="shared" ref="J41:K41" si="4">AVERAGE(J30:J39)</f>
        <v>61.370000000000005</v>
      </c>
      <c r="K41" s="12">
        <f t="shared" si="4"/>
        <v>27.015999999999998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35.151775486827027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B506-556A-3D4E-B3EE-C3619B7E1483}">
  <dimension ref="A1:R42"/>
  <sheetViews>
    <sheetView zoomScale="75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6.5942401331082605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0.6</v>
      </c>
      <c r="C14">
        <v>85.45</v>
      </c>
      <c r="D14">
        <v>727</v>
      </c>
      <c r="E14">
        <v>0.63570000000000004</v>
      </c>
      <c r="F14">
        <v>84.91</v>
      </c>
      <c r="G14" t="str">
        <f>IF(E14=0,"Yes","No")</f>
        <v>No</v>
      </c>
      <c r="H14">
        <v>92.41</v>
      </c>
      <c r="I14">
        <v>63.63</v>
      </c>
      <c r="J14">
        <v>31.2</v>
      </c>
    </row>
    <row r="15" spans="1:18" x14ac:dyDescent="0.2">
      <c r="A15" s="10">
        <v>2</v>
      </c>
      <c r="B15">
        <v>0.4</v>
      </c>
      <c r="C15">
        <v>83.47</v>
      </c>
      <c r="D15">
        <v>5231</v>
      </c>
      <c r="E15">
        <v>1.4537</v>
      </c>
      <c r="F15">
        <v>82.26</v>
      </c>
      <c r="G15" t="str">
        <f t="shared" ref="G15:G23" si="0">IF(E15=0,"Yes","No")</f>
        <v>No</v>
      </c>
      <c r="H15">
        <v>94.61</v>
      </c>
      <c r="I15">
        <v>60.46</v>
      </c>
      <c r="J15">
        <v>18.87</v>
      </c>
    </row>
    <row r="16" spans="1:18" x14ac:dyDescent="0.2">
      <c r="A16" s="10">
        <v>3</v>
      </c>
      <c r="B16">
        <v>0.7</v>
      </c>
      <c r="C16">
        <v>87.53</v>
      </c>
      <c r="D16">
        <v>2462</v>
      </c>
      <c r="E16">
        <v>9.7775999999999996</v>
      </c>
      <c r="F16">
        <v>78.97</v>
      </c>
      <c r="G16" t="str">
        <f t="shared" si="0"/>
        <v>No</v>
      </c>
      <c r="H16">
        <v>90.22</v>
      </c>
      <c r="I16">
        <v>64.650000000000006</v>
      </c>
      <c r="J16">
        <v>24.03</v>
      </c>
    </row>
    <row r="17" spans="1:14" x14ac:dyDescent="0.2">
      <c r="A17" s="10">
        <v>4</v>
      </c>
      <c r="B17">
        <v>0.5</v>
      </c>
      <c r="C17">
        <v>85.45</v>
      </c>
      <c r="D17">
        <v>4089</v>
      </c>
      <c r="E17">
        <v>7.5854999999999997</v>
      </c>
      <c r="F17">
        <v>78.97</v>
      </c>
      <c r="G17" t="str">
        <f t="shared" si="0"/>
        <v>No</v>
      </c>
      <c r="H17">
        <v>92.41</v>
      </c>
      <c r="I17">
        <v>61.45</v>
      </c>
      <c r="J17">
        <v>16.84</v>
      </c>
    </row>
    <row r="18" spans="1:14" x14ac:dyDescent="0.2">
      <c r="A18" s="10">
        <v>5</v>
      </c>
      <c r="B18">
        <v>1.3</v>
      </c>
      <c r="C18">
        <v>93.74</v>
      </c>
      <c r="D18">
        <v>4815</v>
      </c>
      <c r="E18">
        <v>15.7601</v>
      </c>
      <c r="F18">
        <v>78.97</v>
      </c>
      <c r="G18" t="str">
        <f t="shared" si="0"/>
        <v>No</v>
      </c>
      <c r="H18">
        <v>84.24</v>
      </c>
      <c r="I18">
        <v>63.95</v>
      </c>
      <c r="J18">
        <v>32.450000000000003</v>
      </c>
    </row>
    <row r="19" spans="1:14" x14ac:dyDescent="0.2">
      <c r="A19" s="10">
        <v>6</v>
      </c>
      <c r="B19" s="11"/>
      <c r="G19" t="str">
        <f t="shared" si="0"/>
        <v>Yes</v>
      </c>
    </row>
    <row r="20" spans="1:14" x14ac:dyDescent="0.2">
      <c r="A20" s="10">
        <v>7</v>
      </c>
      <c r="G20" t="str">
        <f t="shared" si="0"/>
        <v>Yes</v>
      </c>
    </row>
    <row r="21" spans="1:14" x14ac:dyDescent="0.2">
      <c r="A21" s="10">
        <v>8</v>
      </c>
      <c r="G21" t="str">
        <f t="shared" si="0"/>
        <v>Yes</v>
      </c>
    </row>
    <row r="22" spans="1:14" x14ac:dyDescent="0.2">
      <c r="A22" s="10">
        <v>9</v>
      </c>
      <c r="G22" t="str">
        <f t="shared" si="0"/>
        <v>Yes</v>
      </c>
    </row>
    <row r="23" spans="1:14" x14ac:dyDescent="0.2">
      <c r="A23" s="10">
        <v>10</v>
      </c>
      <c r="G23" t="str">
        <f t="shared" si="0"/>
        <v>Yes</v>
      </c>
    </row>
    <row r="25" spans="1:14" x14ac:dyDescent="0.2">
      <c r="A25" s="12" t="s">
        <v>18</v>
      </c>
      <c r="B25" s="12">
        <f>AVERAGE(B14:B23)</f>
        <v>0.7</v>
      </c>
      <c r="C25" s="3">
        <f>AVERAGE(C14:C23)</f>
        <v>87.128000000000014</v>
      </c>
      <c r="D25" s="12">
        <f>AVERAGE(D14:D23)</f>
        <v>3464.8</v>
      </c>
      <c r="E25" s="12">
        <f t="shared" ref="E25:F25" si="1">AVERAGE(E14:E23)</f>
        <v>7.0425200000000006</v>
      </c>
      <c r="F25" s="12">
        <f t="shared" si="1"/>
        <v>80.816000000000003</v>
      </c>
      <c r="G25" s="12">
        <f>(COUNTIF(G14:G23,"Yes")/10)*100</f>
        <v>50</v>
      </c>
      <c r="H25" s="12">
        <f>AVERAGE(H14:H23)</f>
        <v>90.777999999999992</v>
      </c>
      <c r="I25" s="12">
        <f>AVERAGE(I14:I23)</f>
        <v>62.827999999999996</v>
      </c>
      <c r="J25" s="12">
        <f>AVERAGE(J14:J23)</f>
        <v>24.678000000000001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7.2445138187494384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7</v>
      </c>
      <c r="C30">
        <v>1.1000000000000001</v>
      </c>
      <c r="D30">
        <v>66.709999999999994</v>
      </c>
      <c r="E30">
        <v>2589</v>
      </c>
      <c r="F30">
        <v>32.858400000000003</v>
      </c>
      <c r="G30">
        <v>44.79</v>
      </c>
      <c r="H30" t="str">
        <f>IF(F30=0,"Yes","No")</f>
        <v>No</v>
      </c>
      <c r="I30" s="49">
        <v>82.58</v>
      </c>
      <c r="J30" s="49">
        <v>55.98</v>
      </c>
      <c r="K30" s="49">
        <v>42.65</v>
      </c>
    </row>
    <row r="31" spans="1:14" x14ac:dyDescent="0.2">
      <c r="A31" s="10">
        <v>2</v>
      </c>
      <c r="B31">
        <v>8</v>
      </c>
      <c r="C31">
        <v>0.7</v>
      </c>
      <c r="D31">
        <v>67.37</v>
      </c>
      <c r="E31">
        <v>1887</v>
      </c>
      <c r="F31">
        <v>38.378999999999998</v>
      </c>
      <c r="G31">
        <v>41.51</v>
      </c>
      <c r="H31" t="str">
        <f t="shared" ref="H31:H39" si="2">IF(F31=0,"Yes","No")</f>
        <v>No</v>
      </c>
      <c r="I31" s="49">
        <v>91.08</v>
      </c>
      <c r="J31" s="49">
        <v>57.31</v>
      </c>
      <c r="K31" s="49">
        <v>23.66</v>
      </c>
    </row>
    <row r="32" spans="1:14" x14ac:dyDescent="0.2">
      <c r="A32" s="10">
        <v>3</v>
      </c>
      <c r="B32">
        <v>8</v>
      </c>
      <c r="C32">
        <v>0.6</v>
      </c>
      <c r="D32">
        <v>75.27</v>
      </c>
      <c r="E32">
        <v>2454</v>
      </c>
      <c r="F32">
        <v>36.5017</v>
      </c>
      <c r="G32">
        <v>47.8</v>
      </c>
      <c r="H32" t="str">
        <f t="shared" si="2"/>
        <v>No</v>
      </c>
      <c r="I32" s="49">
        <v>91.66</v>
      </c>
      <c r="J32" s="49">
        <v>59.96</v>
      </c>
      <c r="K32" s="49">
        <v>17.670000000000002</v>
      </c>
    </row>
    <row r="33" spans="1:14" x14ac:dyDescent="0.2">
      <c r="A33" s="10">
        <v>4</v>
      </c>
      <c r="B33">
        <v>8</v>
      </c>
      <c r="C33">
        <v>0.7</v>
      </c>
      <c r="D33">
        <v>95.77</v>
      </c>
      <c r="E33">
        <v>1800</v>
      </c>
      <c r="F33">
        <v>36.580599999999997</v>
      </c>
      <c r="G33">
        <v>60.74</v>
      </c>
      <c r="H33" t="str">
        <f t="shared" si="2"/>
        <v>No</v>
      </c>
      <c r="I33" s="49">
        <v>90.13</v>
      </c>
      <c r="J33" s="49">
        <v>58.46</v>
      </c>
      <c r="K33" s="49">
        <v>29.4</v>
      </c>
    </row>
    <row r="34" spans="1:14" x14ac:dyDescent="0.2">
      <c r="A34" s="10">
        <v>5</v>
      </c>
      <c r="B34">
        <v>8</v>
      </c>
      <c r="C34">
        <v>1.4</v>
      </c>
      <c r="D34">
        <v>103.57</v>
      </c>
      <c r="E34">
        <v>1800</v>
      </c>
      <c r="F34">
        <v>36.417499999999997</v>
      </c>
      <c r="G34">
        <v>65.86</v>
      </c>
      <c r="H34" t="str">
        <f t="shared" si="2"/>
        <v>No</v>
      </c>
      <c r="I34" s="49">
        <v>83.79</v>
      </c>
      <c r="J34" s="49">
        <v>61.09</v>
      </c>
      <c r="K34" s="49">
        <v>30.87</v>
      </c>
    </row>
    <row r="35" spans="1:14" x14ac:dyDescent="0.2">
      <c r="A35" s="10">
        <v>6</v>
      </c>
      <c r="H35" t="str">
        <f t="shared" si="2"/>
        <v>Yes</v>
      </c>
      <c r="I35" s="49"/>
      <c r="J35" s="49"/>
      <c r="K35" s="49"/>
    </row>
    <row r="36" spans="1:14" x14ac:dyDescent="0.2">
      <c r="A36" s="10">
        <v>7</v>
      </c>
      <c r="H36" t="str">
        <f t="shared" si="2"/>
        <v>Yes</v>
      </c>
      <c r="I36" s="49"/>
      <c r="J36" s="49"/>
      <c r="K36" s="49"/>
    </row>
    <row r="37" spans="1:14" x14ac:dyDescent="0.2">
      <c r="A37" s="10">
        <v>8</v>
      </c>
      <c r="H37" t="str">
        <f t="shared" si="2"/>
        <v>Yes</v>
      </c>
      <c r="I37" s="49"/>
      <c r="J37" s="49"/>
      <c r="K37" s="49"/>
    </row>
    <row r="38" spans="1:14" x14ac:dyDescent="0.2">
      <c r="A38" s="10">
        <v>9</v>
      </c>
      <c r="H38" t="str">
        <f t="shared" si="2"/>
        <v>Yes</v>
      </c>
      <c r="I38" s="49"/>
      <c r="J38" s="49"/>
      <c r="K38" s="49"/>
    </row>
    <row r="39" spans="1:14" x14ac:dyDescent="0.2">
      <c r="A39" s="10">
        <v>10</v>
      </c>
      <c r="H39" t="str">
        <f t="shared" si="2"/>
        <v>Yes</v>
      </c>
      <c r="I39" s="49"/>
      <c r="J39" s="49"/>
      <c r="K39" s="49"/>
    </row>
    <row r="41" spans="1:14" x14ac:dyDescent="0.2">
      <c r="A41" s="12" t="s">
        <v>18</v>
      </c>
      <c r="B41" s="12">
        <f>AVERAGE(B30:B39)</f>
        <v>7.8</v>
      </c>
      <c r="C41" s="12">
        <f>AVERAGE(C30:C39)</f>
        <v>0.9</v>
      </c>
      <c r="D41" s="3">
        <f>AVERAGE(D30:D39)</f>
        <v>81.737999999999985</v>
      </c>
      <c r="E41" s="12">
        <f t="shared" ref="E41:G41" si="3">AVERAGE(E30:E39)</f>
        <v>2106</v>
      </c>
      <c r="F41" s="12">
        <f t="shared" si="3"/>
        <v>36.147440000000003</v>
      </c>
      <c r="G41" s="12">
        <f t="shared" si="3"/>
        <v>52.14</v>
      </c>
      <c r="H41" s="12">
        <f>(COUNTIF(H30:H39,"Yes")/10)*100</f>
        <v>50</v>
      </c>
      <c r="I41" s="12">
        <f>AVERAGE(I30:I39)</f>
        <v>87.847999999999999</v>
      </c>
      <c r="J41" s="12">
        <f t="shared" ref="J41:K41" si="4">AVERAGE(J30:J39)</f>
        <v>58.56</v>
      </c>
      <c r="K41" s="12">
        <f t="shared" si="4"/>
        <v>28.85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36.210819936871459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8E9A-7687-0A4C-9602-897547E066DC}">
  <dimension ref="A1:R42"/>
  <sheetViews>
    <sheetView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15.254192595717761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0.44</v>
      </c>
      <c r="C14">
        <v>82.89</v>
      </c>
      <c r="D14">
        <v>5905</v>
      </c>
      <c r="E14">
        <v>1.9494</v>
      </c>
      <c r="F14">
        <v>81.27</v>
      </c>
      <c r="G14" t="str">
        <f>IF(E14=0,"Yes","No")</f>
        <v>No</v>
      </c>
      <c r="H14">
        <v>95.27</v>
      </c>
      <c r="I14">
        <v>62.05</v>
      </c>
      <c r="J14">
        <v>15.33</v>
      </c>
    </row>
    <row r="15" spans="1:18" x14ac:dyDescent="0.2">
      <c r="A15" s="10">
        <v>2</v>
      </c>
      <c r="B15">
        <v>0.8</v>
      </c>
      <c r="C15">
        <v>85.64</v>
      </c>
      <c r="D15">
        <v>1818</v>
      </c>
      <c r="E15">
        <v>7.7925000000000004</v>
      </c>
      <c r="F15">
        <v>78.97</v>
      </c>
      <c r="G15" t="str">
        <f t="shared" ref="G15:G23" si="0">IF(E15=0,"Yes","No")</f>
        <v>No</v>
      </c>
      <c r="H15">
        <v>92.21</v>
      </c>
      <c r="I15">
        <v>65.02</v>
      </c>
      <c r="J15">
        <v>28.71</v>
      </c>
    </row>
    <row r="16" spans="1:18" x14ac:dyDescent="0.2">
      <c r="A16" s="10">
        <v>3</v>
      </c>
      <c r="B16">
        <v>0.6</v>
      </c>
      <c r="C16">
        <v>83.87</v>
      </c>
      <c r="D16">
        <v>3494</v>
      </c>
      <c r="E16">
        <v>5.8457999999999997</v>
      </c>
      <c r="F16">
        <v>78.97</v>
      </c>
      <c r="G16" t="str">
        <f t="shared" si="0"/>
        <v>No</v>
      </c>
      <c r="H16">
        <v>94.15</v>
      </c>
      <c r="I16">
        <v>62.67</v>
      </c>
      <c r="J16">
        <v>23.33</v>
      </c>
    </row>
    <row r="17" spans="1:14" x14ac:dyDescent="0.2">
      <c r="A17" s="10">
        <v>4</v>
      </c>
      <c r="B17">
        <v>1.32</v>
      </c>
      <c r="C17">
        <v>89.09</v>
      </c>
      <c r="D17">
        <v>3659</v>
      </c>
      <c r="E17">
        <v>11.3642</v>
      </c>
      <c r="F17">
        <v>78.97</v>
      </c>
      <c r="G17" t="str">
        <f t="shared" si="0"/>
        <v>No</v>
      </c>
      <c r="H17">
        <v>88.64</v>
      </c>
      <c r="I17">
        <v>62.22</v>
      </c>
      <c r="J17">
        <v>25.99</v>
      </c>
    </row>
    <row r="18" spans="1:14" x14ac:dyDescent="0.2">
      <c r="A18" s="10">
        <v>5</v>
      </c>
      <c r="B18">
        <v>1.28</v>
      </c>
      <c r="C18">
        <v>88.47</v>
      </c>
      <c r="D18">
        <v>3659</v>
      </c>
      <c r="E18">
        <v>10.7402</v>
      </c>
      <c r="F18">
        <v>78.97</v>
      </c>
      <c r="G18" t="str">
        <f t="shared" si="0"/>
        <v>No</v>
      </c>
      <c r="H18">
        <v>89.26</v>
      </c>
      <c r="I18">
        <v>59.57</v>
      </c>
      <c r="J18">
        <v>22.58</v>
      </c>
    </row>
    <row r="19" spans="1:14" x14ac:dyDescent="0.2">
      <c r="A19" s="10">
        <v>6</v>
      </c>
      <c r="B19" s="11">
        <v>1.28</v>
      </c>
      <c r="C19">
        <v>88.96</v>
      </c>
      <c r="D19">
        <v>3659</v>
      </c>
      <c r="E19">
        <v>11.230700000000001</v>
      </c>
      <c r="F19">
        <v>78.97</v>
      </c>
      <c r="G19" t="str">
        <f t="shared" si="0"/>
        <v>No</v>
      </c>
      <c r="H19">
        <v>88.77</v>
      </c>
      <c r="I19">
        <v>60.98</v>
      </c>
      <c r="J19">
        <v>29.56</v>
      </c>
    </row>
    <row r="20" spans="1:14" x14ac:dyDescent="0.2">
      <c r="A20" s="10">
        <v>7</v>
      </c>
      <c r="B20">
        <v>1.48</v>
      </c>
      <c r="C20">
        <v>89.96</v>
      </c>
      <c r="D20">
        <v>3659</v>
      </c>
      <c r="E20">
        <v>12.2134</v>
      </c>
      <c r="F20">
        <v>78.97</v>
      </c>
      <c r="G20" t="str">
        <f t="shared" si="0"/>
        <v>No</v>
      </c>
      <c r="H20">
        <v>87.79</v>
      </c>
      <c r="I20">
        <v>61.07</v>
      </c>
      <c r="J20">
        <v>26.63</v>
      </c>
    </row>
    <row r="21" spans="1:14" x14ac:dyDescent="0.2">
      <c r="A21" s="10">
        <v>8</v>
      </c>
      <c r="B21">
        <v>1</v>
      </c>
      <c r="C21">
        <v>87.25</v>
      </c>
      <c r="D21">
        <v>3659</v>
      </c>
      <c r="E21">
        <v>9.4916</v>
      </c>
      <c r="F21">
        <v>78.97</v>
      </c>
      <c r="G21" t="str">
        <f t="shared" si="0"/>
        <v>No</v>
      </c>
      <c r="H21">
        <v>90.51</v>
      </c>
      <c r="I21">
        <v>61.81</v>
      </c>
      <c r="J21">
        <v>27.55</v>
      </c>
    </row>
    <row r="22" spans="1:14" x14ac:dyDescent="0.2">
      <c r="A22" s="10">
        <v>9</v>
      </c>
      <c r="B22">
        <v>1.84</v>
      </c>
      <c r="C22">
        <v>92.87</v>
      </c>
      <c r="D22">
        <v>3474</v>
      </c>
      <c r="E22">
        <v>14.972099999999999</v>
      </c>
      <c r="F22">
        <v>78.97</v>
      </c>
      <c r="G22" t="str">
        <f t="shared" si="0"/>
        <v>No</v>
      </c>
      <c r="H22">
        <v>85.03</v>
      </c>
      <c r="I22">
        <v>63.47</v>
      </c>
      <c r="J22">
        <v>33.14</v>
      </c>
    </row>
    <row r="23" spans="1:14" x14ac:dyDescent="0.2">
      <c r="A23" s="10">
        <v>10</v>
      </c>
      <c r="B23">
        <v>0.76</v>
      </c>
      <c r="C23">
        <v>85.18</v>
      </c>
      <c r="D23">
        <v>3845</v>
      </c>
      <c r="E23">
        <v>7.2946999999999997</v>
      </c>
      <c r="F23">
        <v>78.97</v>
      </c>
      <c r="G23" t="str">
        <f t="shared" si="0"/>
        <v>No</v>
      </c>
      <c r="H23">
        <v>92.71</v>
      </c>
      <c r="I23">
        <v>60.28</v>
      </c>
      <c r="J23">
        <v>22.97</v>
      </c>
    </row>
    <row r="25" spans="1:14" x14ac:dyDescent="0.2">
      <c r="A25" s="12" t="s">
        <v>18</v>
      </c>
      <c r="B25" s="12">
        <f>AVERAGE(B14:B23)</f>
        <v>1.08</v>
      </c>
      <c r="C25" s="3">
        <f>AVERAGE(C14:C23)</f>
        <v>87.418000000000006</v>
      </c>
      <c r="D25" s="12">
        <f>AVERAGE(D14:D23)</f>
        <v>3683.1</v>
      </c>
      <c r="E25" s="12">
        <f t="shared" ref="E25:F25" si="1">AVERAGE(E14:E23)</f>
        <v>9.2894600000000018</v>
      </c>
      <c r="F25" s="12">
        <f t="shared" si="1"/>
        <v>79.200000000000017</v>
      </c>
      <c r="G25" s="12">
        <f>(COUNTIF(G14:G23,"Yes")/10)*100</f>
        <v>0</v>
      </c>
      <c r="H25" s="12">
        <f>AVERAGE(H14:H23)</f>
        <v>90.433999999999997</v>
      </c>
      <c r="I25" s="12">
        <f>AVERAGE(I14:I23)</f>
        <v>61.914000000000001</v>
      </c>
      <c r="J25" s="12">
        <f>AVERAGE(J14:J23)</f>
        <v>25.579000000000001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9.4008099018508648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6</v>
      </c>
      <c r="C30">
        <v>1.88</v>
      </c>
      <c r="D30">
        <v>80.77</v>
      </c>
      <c r="E30">
        <v>2045</v>
      </c>
      <c r="F30">
        <v>33.689500000000002</v>
      </c>
      <c r="G30">
        <v>53.56</v>
      </c>
      <c r="H30" t="str">
        <f>IF(F30=0,"Yes","No")</f>
        <v>No</v>
      </c>
      <c r="I30" s="49">
        <v>77.47</v>
      </c>
      <c r="J30" s="49">
        <v>57.67</v>
      </c>
      <c r="K30" s="49">
        <v>60.7</v>
      </c>
    </row>
    <row r="31" spans="1:14" x14ac:dyDescent="0.2">
      <c r="A31" s="10">
        <v>2</v>
      </c>
      <c r="B31">
        <v>7</v>
      </c>
      <c r="C31">
        <v>3.88</v>
      </c>
      <c r="D31">
        <v>84.14</v>
      </c>
      <c r="E31">
        <v>2197</v>
      </c>
      <c r="F31">
        <v>29.724599999999999</v>
      </c>
      <c r="G31">
        <v>59.13</v>
      </c>
      <c r="H31" t="str">
        <f t="shared" ref="H31:H39" si="2">IF(F31=0,"Yes","No")</f>
        <v>No</v>
      </c>
      <c r="I31" s="49">
        <v>71.48</v>
      </c>
      <c r="J31" s="49">
        <v>71.260000000000005</v>
      </c>
      <c r="K31" s="49">
        <v>65.569999999999993</v>
      </c>
    </row>
    <row r="32" spans="1:14" x14ac:dyDescent="0.2">
      <c r="A32" s="10">
        <v>3</v>
      </c>
      <c r="B32">
        <v>6</v>
      </c>
      <c r="C32">
        <v>1.84</v>
      </c>
      <c r="D32">
        <v>63.94</v>
      </c>
      <c r="E32">
        <v>1800</v>
      </c>
      <c r="F32">
        <v>33.346800000000002</v>
      </c>
      <c r="G32">
        <v>42.61</v>
      </c>
      <c r="H32" t="str">
        <f t="shared" si="2"/>
        <v>No</v>
      </c>
      <c r="I32" s="49">
        <v>75.45</v>
      </c>
      <c r="J32" s="49">
        <v>55.73</v>
      </c>
      <c r="K32" s="49">
        <v>45.45</v>
      </c>
    </row>
    <row r="33" spans="1:14" x14ac:dyDescent="0.2">
      <c r="A33" s="10">
        <v>4</v>
      </c>
      <c r="B33">
        <v>7</v>
      </c>
      <c r="C33">
        <v>2.52</v>
      </c>
      <c r="D33">
        <v>76.180000000000007</v>
      </c>
      <c r="E33">
        <v>1800</v>
      </c>
      <c r="F33">
        <v>34.692900000000002</v>
      </c>
      <c r="G33">
        <v>49.75</v>
      </c>
      <c r="H33" t="str">
        <f t="shared" si="2"/>
        <v>No</v>
      </c>
      <c r="I33" s="49">
        <v>71.069999999999993</v>
      </c>
      <c r="J33" s="49">
        <v>69.849999999999994</v>
      </c>
      <c r="K33" s="49">
        <v>53.85</v>
      </c>
    </row>
    <row r="34" spans="1:14" x14ac:dyDescent="0.2">
      <c r="A34" s="10">
        <v>5</v>
      </c>
      <c r="B34">
        <v>7</v>
      </c>
      <c r="C34">
        <v>2.76</v>
      </c>
      <c r="D34">
        <v>69.06</v>
      </c>
      <c r="E34">
        <v>2169</v>
      </c>
      <c r="F34">
        <v>42.333100000000002</v>
      </c>
      <c r="G34">
        <v>39.82</v>
      </c>
      <c r="H34" t="str">
        <f t="shared" si="2"/>
        <v>No</v>
      </c>
      <c r="I34" s="49">
        <v>69.98</v>
      </c>
      <c r="J34" s="49">
        <v>67.459999999999994</v>
      </c>
      <c r="K34" s="49">
        <v>62.03</v>
      </c>
    </row>
    <row r="35" spans="1:14" x14ac:dyDescent="0.2">
      <c r="A35" s="10">
        <v>6</v>
      </c>
      <c r="B35">
        <v>6</v>
      </c>
      <c r="C35">
        <v>2.88</v>
      </c>
      <c r="D35">
        <v>93.19</v>
      </c>
      <c r="E35">
        <v>1800</v>
      </c>
      <c r="F35">
        <v>35.352600000000002</v>
      </c>
      <c r="G35">
        <v>60.25</v>
      </c>
      <c r="H35" t="str">
        <f t="shared" si="2"/>
        <v>No</v>
      </c>
      <c r="I35" s="49">
        <v>68.52</v>
      </c>
      <c r="J35" s="49">
        <v>68.41</v>
      </c>
      <c r="K35" s="49">
        <v>64.06</v>
      </c>
    </row>
    <row r="36" spans="1:14" x14ac:dyDescent="0.2">
      <c r="A36" s="10">
        <v>7</v>
      </c>
      <c r="B36">
        <v>6</v>
      </c>
      <c r="C36">
        <v>1.96</v>
      </c>
      <c r="D36">
        <v>84.95</v>
      </c>
      <c r="E36">
        <v>1884</v>
      </c>
      <c r="F36">
        <v>33.0809</v>
      </c>
      <c r="G36">
        <v>56.85</v>
      </c>
      <c r="H36" t="str">
        <f t="shared" si="2"/>
        <v>No</v>
      </c>
      <c r="I36" s="49">
        <v>76.7</v>
      </c>
      <c r="J36" s="49">
        <v>56.82</v>
      </c>
      <c r="K36" s="49">
        <v>51.94</v>
      </c>
    </row>
    <row r="37" spans="1:14" x14ac:dyDescent="0.2">
      <c r="A37" s="10">
        <v>8</v>
      </c>
      <c r="B37">
        <v>7</v>
      </c>
      <c r="C37">
        <v>2.12</v>
      </c>
      <c r="D37">
        <v>70.7</v>
      </c>
      <c r="E37">
        <v>1800</v>
      </c>
      <c r="F37">
        <v>38.674100000000003</v>
      </c>
      <c r="G37">
        <v>43.36</v>
      </c>
      <c r="H37" t="str">
        <f t="shared" si="2"/>
        <v>No</v>
      </c>
      <c r="I37" s="49">
        <v>76.069999999999993</v>
      </c>
      <c r="J37" s="49">
        <v>63.27</v>
      </c>
      <c r="K37" s="49">
        <v>53.31</v>
      </c>
    </row>
    <row r="38" spans="1:14" x14ac:dyDescent="0.2">
      <c r="A38" s="10">
        <v>9</v>
      </c>
      <c r="B38">
        <v>4</v>
      </c>
      <c r="C38">
        <v>4.6399999999999997</v>
      </c>
      <c r="D38">
        <v>69.540000000000006</v>
      </c>
      <c r="E38">
        <v>1800</v>
      </c>
      <c r="F38">
        <v>33.061500000000002</v>
      </c>
      <c r="G38">
        <v>46.55</v>
      </c>
      <c r="H38" t="str">
        <f t="shared" si="2"/>
        <v>No</v>
      </c>
      <c r="I38" s="49">
        <v>48.89</v>
      </c>
      <c r="J38" s="49">
        <v>66.959999999999994</v>
      </c>
      <c r="K38" s="49">
        <v>57.86</v>
      </c>
    </row>
    <row r="39" spans="1:14" x14ac:dyDescent="0.2">
      <c r="A39" s="10">
        <v>10</v>
      </c>
      <c r="B39">
        <v>6</v>
      </c>
      <c r="C39">
        <v>1.8</v>
      </c>
      <c r="D39">
        <v>66.010000000000005</v>
      </c>
      <c r="E39">
        <v>2462</v>
      </c>
      <c r="F39">
        <v>34.030500000000004</v>
      </c>
      <c r="G39">
        <v>43.55</v>
      </c>
      <c r="H39" t="str">
        <f t="shared" si="2"/>
        <v>No</v>
      </c>
      <c r="I39" s="49">
        <v>77.98</v>
      </c>
      <c r="J39" s="49">
        <v>57.59</v>
      </c>
      <c r="K39" s="49">
        <v>45.61</v>
      </c>
    </row>
    <row r="41" spans="1:14" x14ac:dyDescent="0.2">
      <c r="A41" s="12" t="s">
        <v>18</v>
      </c>
      <c r="B41" s="12">
        <f>AVERAGE(B30:B39)</f>
        <v>6.2</v>
      </c>
      <c r="C41" s="12">
        <f>AVERAGE(C30:C39)</f>
        <v>2.6280000000000001</v>
      </c>
      <c r="D41" s="3">
        <f>AVERAGE(D30:D39)</f>
        <v>75.847999999999999</v>
      </c>
      <c r="E41" s="12">
        <f t="shared" ref="E41:G41" si="3">AVERAGE(E30:E39)</f>
        <v>1975.7</v>
      </c>
      <c r="F41" s="12">
        <f t="shared" si="3"/>
        <v>34.798650000000002</v>
      </c>
      <c r="G41" s="12">
        <f t="shared" si="3"/>
        <v>49.543000000000006</v>
      </c>
      <c r="H41" s="12">
        <f>(COUNTIF(H30:H39,"Yes")/10)*100</f>
        <v>0</v>
      </c>
      <c r="I41" s="12">
        <f>AVERAGE(I30:I39)</f>
        <v>71.361000000000004</v>
      </c>
      <c r="J41" s="12">
        <f t="shared" ref="J41:K41" si="4">AVERAGE(J30:J39)</f>
        <v>63.501999999999995</v>
      </c>
      <c r="K41" s="12">
        <f t="shared" si="4"/>
        <v>56.037999999999997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34.681204514291728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0891-E25A-0346-8782-500FFD1508DF}">
  <dimension ref="A1:R42"/>
  <sheetViews>
    <sheetView zoomScale="69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15.630462909008314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0.64</v>
      </c>
      <c r="C14">
        <v>84.63</v>
      </c>
      <c r="D14">
        <v>3108</v>
      </c>
      <c r="E14">
        <v>2.86</v>
      </c>
      <c r="F14">
        <v>82.21</v>
      </c>
      <c r="G14" t="str">
        <f>IF(E14=0,"Yes","No")</f>
        <v>No</v>
      </c>
      <c r="H14">
        <v>93.31</v>
      </c>
      <c r="I14">
        <v>61.69</v>
      </c>
      <c r="J14">
        <v>23.99</v>
      </c>
    </row>
    <row r="15" spans="1:18" x14ac:dyDescent="0.2">
      <c r="A15" s="10">
        <v>2</v>
      </c>
      <c r="B15">
        <v>0.6</v>
      </c>
      <c r="C15">
        <v>84.62</v>
      </c>
      <c r="D15">
        <v>1800</v>
      </c>
      <c r="E15">
        <v>2.8416000000000001</v>
      </c>
      <c r="F15">
        <v>82.21</v>
      </c>
      <c r="G15" t="str">
        <f t="shared" ref="G15:G23" si="0">IF(E15=0,"Yes","No")</f>
        <v>No</v>
      </c>
      <c r="H15">
        <v>93.32</v>
      </c>
      <c r="I15">
        <v>62.16</v>
      </c>
      <c r="J15">
        <v>21.57</v>
      </c>
    </row>
    <row r="16" spans="1:18" x14ac:dyDescent="0.2">
      <c r="A16" s="10">
        <v>3</v>
      </c>
      <c r="B16">
        <v>0.72</v>
      </c>
      <c r="C16">
        <v>85.59</v>
      </c>
      <c r="D16">
        <v>1800</v>
      </c>
      <c r="E16">
        <v>2.8992</v>
      </c>
      <c r="F16">
        <v>83.11</v>
      </c>
      <c r="G16" t="str">
        <f t="shared" si="0"/>
        <v>No</v>
      </c>
      <c r="H16">
        <v>92.26</v>
      </c>
      <c r="I16">
        <v>66.150000000000006</v>
      </c>
      <c r="J16">
        <v>26.39</v>
      </c>
    </row>
    <row r="17" spans="1:14" x14ac:dyDescent="0.2">
      <c r="A17" s="10">
        <v>4</v>
      </c>
      <c r="B17">
        <v>0.56000000000000005</v>
      </c>
      <c r="C17">
        <v>83.84</v>
      </c>
      <c r="D17">
        <v>1800</v>
      </c>
      <c r="E17">
        <v>1.5736000000000001</v>
      </c>
      <c r="F17">
        <v>82.52</v>
      </c>
      <c r="G17" t="str">
        <f t="shared" si="0"/>
        <v>No</v>
      </c>
      <c r="H17">
        <v>94.19</v>
      </c>
      <c r="I17">
        <v>62.6</v>
      </c>
      <c r="J17">
        <v>25.16</v>
      </c>
    </row>
    <row r="18" spans="1:14" x14ac:dyDescent="0.2">
      <c r="A18" s="10">
        <v>5</v>
      </c>
      <c r="B18">
        <v>0.84</v>
      </c>
      <c r="C18">
        <v>87.13</v>
      </c>
      <c r="D18">
        <v>1800</v>
      </c>
      <c r="E18">
        <v>5.2720000000000002</v>
      </c>
      <c r="F18">
        <v>82.53</v>
      </c>
      <c r="G18" t="str">
        <f t="shared" si="0"/>
        <v>No</v>
      </c>
      <c r="H18">
        <v>90.64</v>
      </c>
      <c r="I18">
        <v>63.42</v>
      </c>
      <c r="J18">
        <v>24.97</v>
      </c>
    </row>
    <row r="19" spans="1:14" x14ac:dyDescent="0.2">
      <c r="A19" s="10">
        <v>6</v>
      </c>
      <c r="B19" s="13">
        <v>0.64</v>
      </c>
      <c r="C19">
        <v>84.97</v>
      </c>
      <c r="D19">
        <v>1800</v>
      </c>
      <c r="E19">
        <v>3.3046000000000002</v>
      </c>
      <c r="F19">
        <v>82.16</v>
      </c>
      <c r="G19" t="str">
        <f t="shared" si="0"/>
        <v>No</v>
      </c>
      <c r="H19">
        <v>92.94</v>
      </c>
      <c r="I19">
        <v>63.17</v>
      </c>
      <c r="J19">
        <v>24.21</v>
      </c>
    </row>
    <row r="20" spans="1:14" x14ac:dyDescent="0.2">
      <c r="A20" s="10">
        <v>7</v>
      </c>
      <c r="B20">
        <v>0.56000000000000005</v>
      </c>
      <c r="C20">
        <v>84.01</v>
      </c>
      <c r="D20">
        <v>1831</v>
      </c>
      <c r="E20">
        <v>1.5508</v>
      </c>
      <c r="F20">
        <v>82.7</v>
      </c>
      <c r="G20" t="str">
        <f t="shared" si="0"/>
        <v>No</v>
      </c>
      <c r="H20">
        <v>94</v>
      </c>
      <c r="I20">
        <v>62.3</v>
      </c>
      <c r="J20">
        <v>24.06</v>
      </c>
    </row>
    <row r="21" spans="1:14" x14ac:dyDescent="0.2">
      <c r="A21" s="10">
        <v>8</v>
      </c>
      <c r="B21">
        <v>0.96</v>
      </c>
      <c r="C21">
        <v>87.97</v>
      </c>
      <c r="D21">
        <v>1889</v>
      </c>
      <c r="E21">
        <v>10.2332</v>
      </c>
      <c r="F21">
        <v>78.97</v>
      </c>
      <c r="G21" t="str">
        <f t="shared" si="0"/>
        <v>No</v>
      </c>
      <c r="H21">
        <v>89.77</v>
      </c>
      <c r="I21">
        <v>65.17</v>
      </c>
      <c r="J21">
        <v>32.81</v>
      </c>
    </row>
    <row r="22" spans="1:14" x14ac:dyDescent="0.2">
      <c r="A22" s="10">
        <v>9</v>
      </c>
      <c r="B22">
        <v>0.64</v>
      </c>
      <c r="C22">
        <v>84.93</v>
      </c>
      <c r="D22">
        <v>1957</v>
      </c>
      <c r="E22">
        <v>5.2401</v>
      </c>
      <c r="F22">
        <v>80.48</v>
      </c>
      <c r="G22" t="str">
        <f t="shared" si="0"/>
        <v>No</v>
      </c>
      <c r="H22">
        <v>92.98</v>
      </c>
      <c r="I22">
        <v>61.57</v>
      </c>
      <c r="J22">
        <v>26.3</v>
      </c>
    </row>
    <row r="23" spans="1:14" x14ac:dyDescent="0.2">
      <c r="A23" s="10">
        <v>10</v>
      </c>
      <c r="B23">
        <v>0.8</v>
      </c>
      <c r="C23">
        <v>86.56</v>
      </c>
      <c r="D23">
        <v>1800</v>
      </c>
      <c r="E23">
        <v>4.5442</v>
      </c>
      <c r="F23">
        <v>82.62</v>
      </c>
      <c r="G23" t="str">
        <f t="shared" si="0"/>
        <v>No</v>
      </c>
      <c r="H23">
        <v>91.23</v>
      </c>
      <c r="I23">
        <v>62.69</v>
      </c>
      <c r="J23">
        <v>27.34</v>
      </c>
    </row>
    <row r="25" spans="1:14" x14ac:dyDescent="0.2">
      <c r="A25" s="12" t="s">
        <v>18</v>
      </c>
      <c r="B25" s="12">
        <f>AVERAGE(B14:B23)</f>
        <v>0.69599999999999995</v>
      </c>
      <c r="C25" s="3">
        <f>AVERAGE(C14:C23)</f>
        <v>85.424999999999997</v>
      </c>
      <c r="D25" s="12">
        <f>AVERAGE(D14:D23)</f>
        <v>1958.5</v>
      </c>
      <c r="E25" s="12">
        <f t="shared" ref="E25:F25" si="1">AVERAGE(E14:E23)</f>
        <v>4.03193</v>
      </c>
      <c r="F25" s="12">
        <f t="shared" si="1"/>
        <v>81.950999999999993</v>
      </c>
      <c r="G25" s="12">
        <f>(COUNTIF(G14:G23,"Yes")/10)*100</f>
        <v>0</v>
      </c>
      <c r="H25" s="12">
        <f>AVERAGE(H14:H23)</f>
        <v>92.463999999999999</v>
      </c>
      <c r="I25" s="12">
        <f>AVERAGE(I14:I23)</f>
        <v>63.092000000000006</v>
      </c>
      <c r="J25" s="12">
        <f>AVERAGE(J14:J23)</f>
        <v>25.68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4.0667251975417074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6</v>
      </c>
      <c r="C30">
        <v>1.92</v>
      </c>
      <c r="D30">
        <v>63.04</v>
      </c>
      <c r="E30">
        <v>3321</v>
      </c>
      <c r="F30">
        <v>34.474699999999999</v>
      </c>
      <c r="G30">
        <v>41.3</v>
      </c>
      <c r="H30" t="str">
        <f>IF(F30=0,"Yes","No")</f>
        <v>No</v>
      </c>
      <c r="I30">
        <v>74.91</v>
      </c>
      <c r="J30" s="13">
        <v>58.45</v>
      </c>
      <c r="K30">
        <v>45.67</v>
      </c>
    </row>
    <row r="31" spans="1:14" x14ac:dyDescent="0.2">
      <c r="A31" s="10">
        <v>2</v>
      </c>
      <c r="B31">
        <v>7</v>
      </c>
      <c r="C31">
        <v>3.8</v>
      </c>
      <c r="D31">
        <v>77.41</v>
      </c>
      <c r="E31">
        <v>5377</v>
      </c>
      <c r="F31">
        <v>46.834800000000001</v>
      </c>
      <c r="G31">
        <v>41.15</v>
      </c>
      <c r="H31" t="str">
        <f t="shared" ref="H31:H39" si="2">IF(F31=0,"Yes","No")</f>
        <v>No</v>
      </c>
      <c r="I31">
        <v>69.36</v>
      </c>
      <c r="J31" s="13">
        <v>53.86</v>
      </c>
      <c r="K31">
        <v>59.44</v>
      </c>
    </row>
    <row r="32" spans="1:14" x14ac:dyDescent="0.2">
      <c r="A32" s="10">
        <v>3</v>
      </c>
      <c r="B32">
        <v>0</v>
      </c>
      <c r="C32">
        <v>16.64</v>
      </c>
      <c r="D32">
        <v>98.36</v>
      </c>
      <c r="E32">
        <v>3660</v>
      </c>
      <c r="F32">
        <v>52.355400000000003</v>
      </c>
      <c r="G32">
        <v>46.86</v>
      </c>
      <c r="H32" t="str">
        <f t="shared" si="2"/>
        <v>No</v>
      </c>
      <c r="I32">
        <v>0</v>
      </c>
      <c r="K32">
        <v>65.400000000000006</v>
      </c>
    </row>
    <row r="33" spans="1:14" x14ac:dyDescent="0.2">
      <c r="A33" s="10">
        <v>4</v>
      </c>
      <c r="B33">
        <v>6</v>
      </c>
      <c r="C33">
        <v>4.5599999999999996</v>
      </c>
      <c r="D33">
        <v>104.57</v>
      </c>
      <c r="E33">
        <v>3660</v>
      </c>
      <c r="F33">
        <v>45.273499999999999</v>
      </c>
      <c r="G33">
        <v>57.26</v>
      </c>
      <c r="H33" t="str">
        <f t="shared" si="2"/>
        <v>No</v>
      </c>
      <c r="I33">
        <v>61.91</v>
      </c>
      <c r="J33">
        <v>58.14</v>
      </c>
      <c r="K33">
        <v>61.71</v>
      </c>
    </row>
    <row r="34" spans="1:14" x14ac:dyDescent="0.2">
      <c r="A34" s="10">
        <v>5</v>
      </c>
      <c r="B34">
        <v>0</v>
      </c>
      <c r="C34">
        <v>15.6</v>
      </c>
      <c r="D34">
        <v>126.74</v>
      </c>
      <c r="E34">
        <v>3660</v>
      </c>
      <c r="F34">
        <v>53.563600000000001</v>
      </c>
      <c r="G34">
        <v>58.85</v>
      </c>
      <c r="H34" t="str">
        <f t="shared" si="2"/>
        <v>No</v>
      </c>
      <c r="I34">
        <v>0</v>
      </c>
      <c r="K34">
        <v>66.150000000000006</v>
      </c>
    </row>
    <row r="35" spans="1:14" x14ac:dyDescent="0.2">
      <c r="A35" s="10">
        <v>6</v>
      </c>
      <c r="B35">
        <v>10</v>
      </c>
      <c r="C35">
        <v>0.88</v>
      </c>
      <c r="D35">
        <v>134.74</v>
      </c>
      <c r="E35">
        <v>3660</v>
      </c>
      <c r="F35">
        <v>54.810600000000001</v>
      </c>
      <c r="G35">
        <v>60.89</v>
      </c>
      <c r="H35" t="str">
        <f t="shared" si="2"/>
        <v>No</v>
      </c>
      <c r="I35">
        <v>90.96</v>
      </c>
      <c r="J35">
        <v>53.66</v>
      </c>
      <c r="K35">
        <v>43.27</v>
      </c>
    </row>
    <row r="36" spans="1:14" x14ac:dyDescent="0.2">
      <c r="A36" s="10">
        <v>7</v>
      </c>
      <c r="B36">
        <v>11</v>
      </c>
      <c r="C36">
        <v>2.48</v>
      </c>
      <c r="D36">
        <v>126.62</v>
      </c>
      <c r="E36">
        <v>3660</v>
      </c>
      <c r="F36">
        <v>50.889400000000002</v>
      </c>
      <c r="G36">
        <v>62.18</v>
      </c>
      <c r="H36" t="str">
        <f t="shared" si="2"/>
        <v>No</v>
      </c>
      <c r="I36">
        <v>79.180000000000007</v>
      </c>
      <c r="J36">
        <v>48.82</v>
      </c>
      <c r="K36">
        <v>38.47</v>
      </c>
    </row>
    <row r="37" spans="1:14" x14ac:dyDescent="0.2">
      <c r="A37" s="10">
        <v>8</v>
      </c>
      <c r="B37">
        <v>8</v>
      </c>
      <c r="C37">
        <v>4.08</v>
      </c>
      <c r="D37">
        <v>95.21</v>
      </c>
      <c r="E37">
        <v>3660</v>
      </c>
      <c r="F37">
        <v>54.072899999999997</v>
      </c>
      <c r="G37">
        <v>43.73</v>
      </c>
      <c r="H37" t="str">
        <f t="shared" si="2"/>
        <v>No</v>
      </c>
      <c r="I37">
        <v>63.43</v>
      </c>
      <c r="J37">
        <v>49.99</v>
      </c>
      <c r="K37">
        <v>58.19</v>
      </c>
    </row>
    <row r="38" spans="1:14" x14ac:dyDescent="0.2">
      <c r="A38" s="10">
        <v>9</v>
      </c>
      <c r="B38">
        <v>7</v>
      </c>
      <c r="C38">
        <v>3.88</v>
      </c>
      <c r="D38">
        <v>101.45</v>
      </c>
      <c r="E38">
        <v>3660</v>
      </c>
      <c r="F38">
        <v>49.877499999999998</v>
      </c>
      <c r="G38">
        <v>50.85</v>
      </c>
      <c r="H38" t="str">
        <f t="shared" si="2"/>
        <v>No</v>
      </c>
      <c r="I38">
        <v>66.03</v>
      </c>
      <c r="J38">
        <v>51.6</v>
      </c>
      <c r="K38">
        <v>65.209999999999994</v>
      </c>
    </row>
    <row r="39" spans="1:14" x14ac:dyDescent="0.2">
      <c r="A39" s="10">
        <v>10</v>
      </c>
      <c r="B39">
        <v>7</v>
      </c>
      <c r="C39">
        <v>2.2000000000000002</v>
      </c>
      <c r="D39">
        <v>84.37</v>
      </c>
      <c r="E39">
        <v>3660</v>
      </c>
      <c r="F39">
        <v>46.921700000000001</v>
      </c>
      <c r="G39">
        <v>44.78</v>
      </c>
      <c r="H39" t="str">
        <f t="shared" si="2"/>
        <v>No</v>
      </c>
      <c r="I39">
        <v>74.25</v>
      </c>
      <c r="J39">
        <v>49.26</v>
      </c>
      <c r="K39">
        <v>39.28</v>
      </c>
    </row>
    <row r="41" spans="1:14" x14ac:dyDescent="0.2">
      <c r="A41" s="12" t="s">
        <v>18</v>
      </c>
      <c r="B41" s="12">
        <f>AVERAGE(B30:B39)</f>
        <v>6.2</v>
      </c>
      <c r="C41" s="12">
        <f>AVERAGE(C30:C39)</f>
        <v>5.6040000000000001</v>
      </c>
      <c r="D41" s="3">
        <f>AVERAGE(D30:D39)</f>
        <v>101.251</v>
      </c>
      <c r="E41" s="12">
        <f t="shared" ref="E41:G41" si="3">AVERAGE(E30:E39)</f>
        <v>3797.8</v>
      </c>
      <c r="F41" s="12">
        <f t="shared" si="3"/>
        <v>48.907410000000006</v>
      </c>
      <c r="G41" s="12">
        <f t="shared" si="3"/>
        <v>50.785000000000004</v>
      </c>
      <c r="H41" s="12">
        <f>(COUNTIF(H30:H39,"Yes")/10)*100</f>
        <v>0</v>
      </c>
      <c r="I41" s="12">
        <f>AVERAGE(I30:I39)</f>
        <v>58.003</v>
      </c>
      <c r="J41" s="12">
        <f t="shared" ref="J41:K41" si="4">AVERAGE(J30:J39)</f>
        <v>52.972500000000004</v>
      </c>
      <c r="K41" s="12">
        <f t="shared" si="4"/>
        <v>54.278999999999996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49.842470691647492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BD12-966C-554D-BE82-31C23C07EEB2}">
  <dimension ref="A1:R42"/>
  <sheetViews>
    <sheetView topLeftCell="A3" zoomScale="82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0.16622753949321403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1.1200000000000001</v>
      </c>
      <c r="C14">
        <v>90.15</v>
      </c>
      <c r="D14">
        <v>1824</v>
      </c>
      <c r="E14">
        <v>5.8371000000000004</v>
      </c>
      <c r="F14">
        <v>84.89</v>
      </c>
      <c r="G14" t="str">
        <f>IF(E14=0,"Yes","No")</f>
        <v>No</v>
      </c>
      <c r="H14">
        <v>87.6</v>
      </c>
      <c r="I14">
        <v>65.33</v>
      </c>
      <c r="J14">
        <v>43.24</v>
      </c>
    </row>
    <row r="15" spans="1:18" x14ac:dyDescent="0.2">
      <c r="A15" s="10">
        <v>2</v>
      </c>
      <c r="B15">
        <v>0.96</v>
      </c>
      <c r="C15">
        <v>88.79</v>
      </c>
      <c r="D15">
        <v>1800</v>
      </c>
      <c r="E15">
        <v>5.4656000000000002</v>
      </c>
      <c r="F15">
        <v>83.94</v>
      </c>
      <c r="G15" t="str">
        <f t="shared" ref="G15:G23" si="0">IF(E15=0,"Yes","No")</f>
        <v>No</v>
      </c>
      <c r="H15">
        <v>88.94</v>
      </c>
      <c r="I15">
        <v>62.71</v>
      </c>
      <c r="J15">
        <v>30.85</v>
      </c>
    </row>
    <row r="16" spans="1:18" x14ac:dyDescent="0.2">
      <c r="A16" s="10">
        <v>3</v>
      </c>
      <c r="B16">
        <v>0.48</v>
      </c>
      <c r="C16">
        <v>83.79</v>
      </c>
      <c r="D16">
        <v>6696</v>
      </c>
      <c r="E16">
        <v>1.9935</v>
      </c>
      <c r="F16">
        <v>82.12</v>
      </c>
      <c r="G16" t="str">
        <f t="shared" si="0"/>
        <v>No</v>
      </c>
      <c r="H16">
        <v>94.25</v>
      </c>
      <c r="I16">
        <v>61.36</v>
      </c>
      <c r="J16">
        <v>20.27</v>
      </c>
    </row>
    <row r="17" spans="1:14" x14ac:dyDescent="0.2">
      <c r="A17" s="10">
        <v>4</v>
      </c>
      <c r="B17">
        <v>0.56000000000000005</v>
      </c>
      <c r="C17">
        <v>84.61</v>
      </c>
      <c r="D17">
        <v>5029</v>
      </c>
      <c r="E17">
        <v>6.6622000000000003</v>
      </c>
      <c r="F17">
        <v>78.97</v>
      </c>
      <c r="G17" t="str">
        <f t="shared" si="0"/>
        <v>No</v>
      </c>
      <c r="H17">
        <v>93.34</v>
      </c>
      <c r="I17">
        <v>60.53</v>
      </c>
      <c r="J17">
        <v>17.91</v>
      </c>
    </row>
    <row r="18" spans="1:14" x14ac:dyDescent="0.2">
      <c r="A18" s="10">
        <v>5</v>
      </c>
      <c r="B18">
        <v>1.64</v>
      </c>
      <c r="C18">
        <v>93.02</v>
      </c>
      <c r="D18">
        <v>2975</v>
      </c>
      <c r="E18">
        <v>15.1083</v>
      </c>
      <c r="F18">
        <v>78.97</v>
      </c>
      <c r="G18" t="str">
        <f t="shared" si="0"/>
        <v>No</v>
      </c>
      <c r="H18">
        <v>84.89</v>
      </c>
      <c r="I18">
        <v>61.9</v>
      </c>
      <c r="J18">
        <v>28.76</v>
      </c>
    </row>
    <row r="19" spans="1:14" x14ac:dyDescent="0.2">
      <c r="A19" s="10">
        <v>6</v>
      </c>
      <c r="B19" s="11">
        <v>0.4</v>
      </c>
      <c r="C19">
        <v>82.74</v>
      </c>
      <c r="D19">
        <v>2776</v>
      </c>
      <c r="E19">
        <v>4.5518999999999998</v>
      </c>
      <c r="F19">
        <v>78.97</v>
      </c>
      <c r="G19" t="str">
        <f t="shared" si="0"/>
        <v>No</v>
      </c>
      <c r="H19">
        <v>95.45</v>
      </c>
      <c r="I19">
        <v>61.7</v>
      </c>
      <c r="J19">
        <v>21.09</v>
      </c>
    </row>
    <row r="20" spans="1:14" x14ac:dyDescent="0.2">
      <c r="A20" s="10">
        <v>7</v>
      </c>
      <c r="B20">
        <v>0.56000000000000005</v>
      </c>
      <c r="C20">
        <v>84.65</v>
      </c>
      <c r="D20">
        <v>5226</v>
      </c>
      <c r="E20">
        <v>6.7125000000000004</v>
      </c>
      <c r="F20">
        <v>78.97</v>
      </c>
      <c r="G20" t="str">
        <f t="shared" si="0"/>
        <v>No</v>
      </c>
      <c r="H20">
        <v>93.29</v>
      </c>
      <c r="I20">
        <v>62.2</v>
      </c>
      <c r="J20">
        <v>22.39</v>
      </c>
    </row>
    <row r="21" spans="1:14" x14ac:dyDescent="0.2">
      <c r="A21" s="10">
        <v>8</v>
      </c>
      <c r="B21">
        <v>2.12</v>
      </c>
      <c r="C21">
        <v>98.32</v>
      </c>
      <c r="D21">
        <v>43.26</v>
      </c>
      <c r="E21">
        <v>19.681999999999999</v>
      </c>
      <c r="F21">
        <v>78.97</v>
      </c>
      <c r="G21" t="str">
        <f t="shared" si="0"/>
        <v>No</v>
      </c>
      <c r="H21">
        <v>80.319999999999993</v>
      </c>
      <c r="I21">
        <v>62.17</v>
      </c>
      <c r="J21">
        <v>43.26</v>
      </c>
    </row>
    <row r="22" spans="1:14" x14ac:dyDescent="0.2">
      <c r="A22" s="10">
        <v>9</v>
      </c>
      <c r="B22">
        <v>0.6</v>
      </c>
      <c r="C22">
        <v>84.99</v>
      </c>
      <c r="D22">
        <v>2552</v>
      </c>
      <c r="E22">
        <v>5.7430000000000003</v>
      </c>
      <c r="F22">
        <v>80.11</v>
      </c>
      <c r="G22" t="str">
        <f t="shared" si="0"/>
        <v>No</v>
      </c>
      <c r="H22">
        <v>92.92</v>
      </c>
      <c r="I22">
        <v>62.28</v>
      </c>
      <c r="J22">
        <v>23.3</v>
      </c>
    </row>
    <row r="23" spans="1:14" x14ac:dyDescent="0.2">
      <c r="A23" s="10">
        <v>10</v>
      </c>
      <c r="B23">
        <v>1.44</v>
      </c>
      <c r="C23">
        <v>91.8</v>
      </c>
      <c r="D23">
        <v>1083</v>
      </c>
      <c r="E23">
        <v>13.971500000000001</v>
      </c>
      <c r="F23">
        <v>78.97</v>
      </c>
      <c r="G23" t="str">
        <f t="shared" si="0"/>
        <v>No</v>
      </c>
      <c r="H23">
        <v>86.03</v>
      </c>
      <c r="I23">
        <v>63.78</v>
      </c>
      <c r="J23">
        <v>27.98</v>
      </c>
    </row>
    <row r="25" spans="1:14" x14ac:dyDescent="0.2">
      <c r="A25" s="12" t="s">
        <v>18</v>
      </c>
      <c r="B25" s="12">
        <f>AVERAGE(B14:B23)</f>
        <v>0.9880000000000001</v>
      </c>
      <c r="C25" s="3">
        <f>AVERAGE(C14:C23)</f>
        <v>88.285999999999987</v>
      </c>
      <c r="D25" s="12">
        <f>AVERAGE(D14:D23)</f>
        <v>3000.4259999999999</v>
      </c>
      <c r="E25" s="12">
        <f t="shared" ref="E25:F25" si="1">AVERAGE(E14:E23)</f>
        <v>8.5727599999999988</v>
      </c>
      <c r="F25" s="12">
        <f t="shared" si="1"/>
        <v>80.488000000000014</v>
      </c>
      <c r="G25" s="12">
        <f>(COUNTIF(G14:G23,"Yes")/10)*100</f>
        <v>0</v>
      </c>
      <c r="H25" s="12">
        <f>AVERAGE(H14:H23)</f>
        <v>89.702999999999989</v>
      </c>
      <c r="I25" s="12">
        <f>AVERAGE(I14:I23)</f>
        <v>62.395999999999994</v>
      </c>
      <c r="J25" s="12">
        <f>AVERAGE(J14:J23)</f>
        <v>27.905000000000001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8.8326574994902636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9</v>
      </c>
      <c r="C30">
        <v>1.44</v>
      </c>
      <c r="D30">
        <v>83.13</v>
      </c>
      <c r="E30">
        <v>2219</v>
      </c>
      <c r="F30">
        <v>34.699100000000001</v>
      </c>
      <c r="G30">
        <v>54.29</v>
      </c>
      <c r="H30" t="str">
        <f>IF(F30=0,"Yes","No")</f>
        <v>No</v>
      </c>
      <c r="I30">
        <v>82.93</v>
      </c>
      <c r="J30" s="13">
        <v>67.23</v>
      </c>
      <c r="K30">
        <v>51.27</v>
      </c>
    </row>
    <row r="31" spans="1:14" x14ac:dyDescent="0.2">
      <c r="A31" s="10">
        <v>2</v>
      </c>
      <c r="B31">
        <v>6</v>
      </c>
      <c r="C31">
        <v>5.4</v>
      </c>
      <c r="D31">
        <v>112.43</v>
      </c>
      <c r="E31">
        <v>4337</v>
      </c>
      <c r="F31">
        <v>47.1556</v>
      </c>
      <c r="G31">
        <v>59.41</v>
      </c>
      <c r="H31" t="str">
        <f t="shared" ref="H31:H39" si="2">IF(F31=0,"Yes","No")</f>
        <v>No</v>
      </c>
      <c r="I31">
        <v>55.18</v>
      </c>
      <c r="J31" s="13">
        <v>56.34</v>
      </c>
      <c r="K31">
        <v>61.75</v>
      </c>
    </row>
    <row r="32" spans="1:14" x14ac:dyDescent="0.2">
      <c r="A32" s="10">
        <v>3</v>
      </c>
      <c r="B32">
        <v>7</v>
      </c>
      <c r="C32">
        <v>1.64</v>
      </c>
      <c r="D32">
        <v>74.41</v>
      </c>
      <c r="E32">
        <v>1800</v>
      </c>
      <c r="F32">
        <v>39.5593</v>
      </c>
      <c r="G32">
        <v>44.97</v>
      </c>
      <c r="H32" t="str">
        <f t="shared" si="2"/>
        <v>No</v>
      </c>
      <c r="I32">
        <v>75.63</v>
      </c>
      <c r="J32">
        <v>57.46</v>
      </c>
      <c r="K32">
        <v>51.39</v>
      </c>
    </row>
    <row r="33" spans="1:14" x14ac:dyDescent="0.2">
      <c r="A33" s="10">
        <v>4</v>
      </c>
      <c r="B33">
        <v>8</v>
      </c>
      <c r="C33">
        <v>1.04</v>
      </c>
      <c r="D33">
        <v>80.62</v>
      </c>
      <c r="E33">
        <v>1800</v>
      </c>
      <c r="F33">
        <v>40.938899999999997</v>
      </c>
      <c r="G33">
        <v>47.61</v>
      </c>
      <c r="H33" t="str">
        <f t="shared" si="2"/>
        <v>No</v>
      </c>
      <c r="I33">
        <v>86.93</v>
      </c>
      <c r="J33">
        <v>56.19</v>
      </c>
      <c r="K33">
        <v>40.06</v>
      </c>
    </row>
    <row r="34" spans="1:14" x14ac:dyDescent="0.2">
      <c r="A34" s="10">
        <v>5</v>
      </c>
      <c r="B34">
        <v>7</v>
      </c>
      <c r="C34">
        <v>1.32</v>
      </c>
      <c r="D34">
        <v>84.75</v>
      </c>
      <c r="E34">
        <v>1800</v>
      </c>
      <c r="F34">
        <v>34.1571</v>
      </c>
      <c r="G34">
        <v>55.8</v>
      </c>
      <c r="H34" t="str">
        <f t="shared" si="2"/>
        <v>No</v>
      </c>
      <c r="I34">
        <v>85.24</v>
      </c>
      <c r="J34">
        <v>56.58</v>
      </c>
      <c r="K34">
        <v>40.090000000000003</v>
      </c>
    </row>
    <row r="35" spans="1:14" x14ac:dyDescent="0.2">
      <c r="A35" s="10">
        <v>6</v>
      </c>
      <c r="B35">
        <v>7</v>
      </c>
      <c r="C35">
        <v>1.44</v>
      </c>
      <c r="D35">
        <v>76.37</v>
      </c>
      <c r="E35">
        <v>1800</v>
      </c>
      <c r="F35">
        <v>37.507800000000003</v>
      </c>
      <c r="G35">
        <v>47.72</v>
      </c>
      <c r="H35" t="str">
        <f t="shared" si="2"/>
        <v>No</v>
      </c>
      <c r="I35">
        <v>80.02</v>
      </c>
      <c r="J35">
        <v>60.18</v>
      </c>
      <c r="K35">
        <v>49.62</v>
      </c>
    </row>
    <row r="36" spans="1:14" x14ac:dyDescent="0.2">
      <c r="A36" s="10">
        <v>7</v>
      </c>
      <c r="B36">
        <v>6</v>
      </c>
      <c r="C36">
        <v>3</v>
      </c>
      <c r="D36">
        <v>69.89</v>
      </c>
      <c r="E36">
        <v>1800</v>
      </c>
      <c r="F36">
        <v>33.995699999999999</v>
      </c>
      <c r="G36">
        <v>46.13</v>
      </c>
      <c r="H36" t="str">
        <f t="shared" si="2"/>
        <v>No</v>
      </c>
      <c r="I36">
        <v>62.41</v>
      </c>
      <c r="J36">
        <v>70.930000000000007</v>
      </c>
      <c r="K36">
        <v>61.73</v>
      </c>
    </row>
    <row r="37" spans="1:14" x14ac:dyDescent="0.2">
      <c r="A37" s="10">
        <v>8</v>
      </c>
      <c r="B37">
        <v>14</v>
      </c>
      <c r="C37">
        <v>2.88</v>
      </c>
      <c r="D37">
        <v>95.33</v>
      </c>
      <c r="E37">
        <v>1924</v>
      </c>
      <c r="F37">
        <v>34.594000000000001</v>
      </c>
      <c r="G37">
        <v>62.35</v>
      </c>
      <c r="H37" t="str">
        <f t="shared" si="2"/>
        <v>No</v>
      </c>
      <c r="I37">
        <v>77.39</v>
      </c>
      <c r="J37">
        <v>66.05</v>
      </c>
      <c r="K37">
        <v>48.24</v>
      </c>
    </row>
    <row r="38" spans="1:14" x14ac:dyDescent="0.2">
      <c r="A38" s="10">
        <v>9</v>
      </c>
      <c r="B38">
        <v>9</v>
      </c>
      <c r="C38">
        <v>2.44</v>
      </c>
      <c r="D38">
        <v>120.09</v>
      </c>
      <c r="E38">
        <v>2103</v>
      </c>
      <c r="F38">
        <v>48.389400000000002</v>
      </c>
      <c r="G38">
        <v>61.98</v>
      </c>
      <c r="H38" t="str">
        <f t="shared" si="2"/>
        <v>No</v>
      </c>
      <c r="I38">
        <v>79.36</v>
      </c>
      <c r="J38">
        <v>57.07</v>
      </c>
      <c r="K38">
        <v>48.13</v>
      </c>
    </row>
    <row r="39" spans="1:14" x14ac:dyDescent="0.2">
      <c r="A39" s="10">
        <v>10</v>
      </c>
      <c r="B39">
        <v>6</v>
      </c>
      <c r="C39">
        <v>3.6</v>
      </c>
      <c r="D39">
        <v>87.31</v>
      </c>
      <c r="E39">
        <v>3072</v>
      </c>
      <c r="F39">
        <v>49.165700000000001</v>
      </c>
      <c r="G39">
        <v>44.38</v>
      </c>
      <c r="H39" t="str">
        <f t="shared" si="2"/>
        <v>No</v>
      </c>
      <c r="I39">
        <v>60.27</v>
      </c>
      <c r="J39">
        <v>48.96</v>
      </c>
      <c r="K39">
        <v>45.81</v>
      </c>
    </row>
    <row r="41" spans="1:14" x14ac:dyDescent="0.2">
      <c r="A41" s="12" t="s">
        <v>18</v>
      </c>
      <c r="B41" s="12">
        <f>AVERAGE(B30:B39)</f>
        <v>7.9</v>
      </c>
      <c r="C41" s="12">
        <f>AVERAGE(C30:C39)</f>
        <v>2.4200000000000004</v>
      </c>
      <c r="D41" s="3">
        <f>AVERAGE(D30:D39)</f>
        <v>88.433000000000021</v>
      </c>
      <c r="E41" s="12">
        <f t="shared" ref="E41:G41" si="3">AVERAGE(E30:E39)</f>
        <v>2265.5</v>
      </c>
      <c r="F41" s="12">
        <f t="shared" si="3"/>
        <v>40.016260000000003</v>
      </c>
      <c r="G41" s="12">
        <f t="shared" si="3"/>
        <v>52.463999999999999</v>
      </c>
      <c r="H41" s="12">
        <f>(COUNTIF(H30:H39,"Yes")/10)*100</f>
        <v>0</v>
      </c>
      <c r="I41" s="12">
        <f>AVERAGE(I30:I39)</f>
        <v>74.536000000000001</v>
      </c>
      <c r="J41" s="12">
        <f t="shared" ref="J41:K41" si="4">AVERAGE(J30:J39)</f>
        <v>59.699000000000012</v>
      </c>
      <c r="K41" s="12">
        <f t="shared" si="4"/>
        <v>49.809000000000005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40.673730394762153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AE35-5AD6-384A-BE4F-6D59F7686167}">
  <dimension ref="A1:R42"/>
  <sheetViews>
    <sheetView topLeftCell="A2" zoomScale="82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7</v>
      </c>
      <c r="C1" s="1">
        <v>11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21</v>
      </c>
      <c r="J1" s="1"/>
      <c r="K1" s="1"/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8</v>
      </c>
      <c r="O2" s="6">
        <v>78.97</v>
      </c>
      <c r="P2" s="5">
        <v>900</v>
      </c>
      <c r="Q2" s="7">
        <v>0.23350000000000001</v>
      </c>
      <c r="R2" s="5">
        <v>60.53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2.4981648008808923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0.56000000000000005</v>
      </c>
      <c r="C14">
        <v>85.16</v>
      </c>
      <c r="D14">
        <v>2860</v>
      </c>
      <c r="E14">
        <v>2.2355999999999998</v>
      </c>
      <c r="F14">
        <v>83.26</v>
      </c>
      <c r="G14" t="str">
        <f>IF(E14=0,"Yes","No")</f>
        <v>No</v>
      </c>
      <c r="H14">
        <v>92.73</v>
      </c>
      <c r="I14">
        <v>62.01</v>
      </c>
      <c r="J14">
        <v>23.38</v>
      </c>
    </row>
    <row r="15" spans="1:18" x14ac:dyDescent="0.2">
      <c r="A15" s="10">
        <v>2</v>
      </c>
      <c r="B15">
        <v>1.8</v>
      </c>
      <c r="C15">
        <v>96.79</v>
      </c>
      <c r="D15">
        <v>4698</v>
      </c>
      <c r="E15">
        <v>18.408000000000001</v>
      </c>
      <c r="F15">
        <v>78.97</v>
      </c>
      <c r="G15" t="str">
        <f t="shared" ref="G15:G23" si="0">IF(E15=0,"Yes","No")</f>
        <v>No</v>
      </c>
      <c r="H15">
        <v>81.59</v>
      </c>
      <c r="I15">
        <v>64.2</v>
      </c>
      <c r="J15">
        <v>33.479999999999997</v>
      </c>
    </row>
    <row r="16" spans="1:18" x14ac:dyDescent="0.2">
      <c r="A16" s="10">
        <v>3</v>
      </c>
      <c r="B16">
        <v>1.04</v>
      </c>
      <c r="C16">
        <v>90.24</v>
      </c>
      <c r="D16">
        <v>3659</v>
      </c>
      <c r="E16">
        <v>12.492699999999999</v>
      </c>
      <c r="F16">
        <v>78.97</v>
      </c>
      <c r="G16" t="str">
        <f t="shared" si="0"/>
        <v>No</v>
      </c>
      <c r="H16">
        <v>87.51</v>
      </c>
      <c r="I16">
        <v>63.31</v>
      </c>
      <c r="J16">
        <v>29.41</v>
      </c>
    </row>
    <row r="17" spans="1:14" x14ac:dyDescent="0.2">
      <c r="A17" s="10">
        <v>4</v>
      </c>
      <c r="B17">
        <v>1.2</v>
      </c>
      <c r="C17">
        <v>92.04</v>
      </c>
      <c r="D17">
        <v>3659</v>
      </c>
      <c r="E17">
        <v>14.2049</v>
      </c>
      <c r="F17">
        <v>78.97</v>
      </c>
      <c r="G17" t="str">
        <f t="shared" si="0"/>
        <v>No</v>
      </c>
      <c r="H17">
        <v>85.8</v>
      </c>
      <c r="I17">
        <v>61.24</v>
      </c>
      <c r="J17">
        <v>27.08</v>
      </c>
    </row>
    <row r="18" spans="1:14" x14ac:dyDescent="0.2">
      <c r="A18" s="10">
        <v>5</v>
      </c>
      <c r="B18">
        <v>1.1599999999999999</v>
      </c>
      <c r="C18">
        <v>92.57</v>
      </c>
      <c r="D18">
        <v>2276</v>
      </c>
      <c r="E18">
        <v>14.6928</v>
      </c>
      <c r="F18">
        <v>78.97</v>
      </c>
      <c r="G18" t="str">
        <f t="shared" si="0"/>
        <v>No</v>
      </c>
      <c r="H18">
        <v>85.31</v>
      </c>
      <c r="I18">
        <v>64.36</v>
      </c>
      <c r="J18">
        <v>33.619999999999997</v>
      </c>
    </row>
    <row r="19" spans="1:14" x14ac:dyDescent="0.2">
      <c r="A19" s="10">
        <v>6</v>
      </c>
      <c r="B19" s="11">
        <v>0.72</v>
      </c>
      <c r="C19">
        <v>87.13</v>
      </c>
      <c r="D19">
        <v>4155</v>
      </c>
      <c r="E19">
        <v>9.3651</v>
      </c>
      <c r="F19">
        <v>78.97</v>
      </c>
      <c r="G19" t="str">
        <f t="shared" si="0"/>
        <v>No</v>
      </c>
      <c r="H19">
        <v>90.63</v>
      </c>
      <c r="I19">
        <v>62.72</v>
      </c>
      <c r="J19">
        <v>29.38</v>
      </c>
    </row>
    <row r="20" spans="1:14" x14ac:dyDescent="0.2">
      <c r="A20" s="10">
        <v>7</v>
      </c>
      <c r="B20">
        <v>0.88</v>
      </c>
      <c r="C20">
        <v>88.5</v>
      </c>
      <c r="D20">
        <v>4547</v>
      </c>
      <c r="E20">
        <v>10.7645</v>
      </c>
      <c r="F20">
        <v>78.97</v>
      </c>
      <c r="G20" t="str">
        <f t="shared" si="0"/>
        <v>No</v>
      </c>
      <c r="H20">
        <v>89.24</v>
      </c>
      <c r="I20">
        <v>59.1</v>
      </c>
      <c r="J20">
        <v>25</v>
      </c>
    </row>
    <row r="21" spans="1:14" x14ac:dyDescent="0.2">
      <c r="A21" s="10">
        <v>8</v>
      </c>
      <c r="B21">
        <v>0.6</v>
      </c>
      <c r="C21">
        <v>85.89</v>
      </c>
      <c r="D21">
        <v>2679</v>
      </c>
      <c r="E21">
        <v>8.0555000000000003</v>
      </c>
      <c r="F21">
        <v>78.97</v>
      </c>
      <c r="G21" t="str">
        <f t="shared" si="0"/>
        <v>No</v>
      </c>
      <c r="H21">
        <v>91.94</v>
      </c>
      <c r="I21">
        <v>61.16</v>
      </c>
      <c r="J21">
        <v>17.64</v>
      </c>
    </row>
    <row r="22" spans="1:14" x14ac:dyDescent="0.2">
      <c r="A22" s="10">
        <v>9</v>
      </c>
      <c r="B22">
        <v>0.68</v>
      </c>
      <c r="C22">
        <v>87</v>
      </c>
      <c r="D22">
        <v>2702</v>
      </c>
      <c r="E22">
        <v>4.6837999999999997</v>
      </c>
      <c r="F22">
        <v>82.93</v>
      </c>
      <c r="G22" t="str">
        <f t="shared" si="0"/>
        <v>No</v>
      </c>
      <c r="H22">
        <v>90.77</v>
      </c>
      <c r="I22">
        <v>61.11</v>
      </c>
      <c r="J22">
        <v>25.33</v>
      </c>
    </row>
    <row r="23" spans="1:14" x14ac:dyDescent="0.2">
      <c r="A23" s="10">
        <v>10</v>
      </c>
      <c r="B23">
        <v>0.8</v>
      </c>
      <c r="C23">
        <v>88.3</v>
      </c>
      <c r="D23">
        <v>2005</v>
      </c>
      <c r="E23">
        <v>10.5692</v>
      </c>
      <c r="F23">
        <v>78.97</v>
      </c>
      <c r="G23" t="str">
        <f t="shared" si="0"/>
        <v>No</v>
      </c>
      <c r="H23">
        <v>89.43</v>
      </c>
      <c r="I23">
        <v>61.44</v>
      </c>
      <c r="J23">
        <v>25.92</v>
      </c>
    </row>
    <row r="25" spans="1:14" x14ac:dyDescent="0.2">
      <c r="A25" s="12" t="s">
        <v>18</v>
      </c>
      <c r="B25" s="12">
        <f>AVERAGE(B14:B23)</f>
        <v>0.94400000000000017</v>
      </c>
      <c r="C25" s="3">
        <f>AVERAGE(C14:C23)</f>
        <v>89.361999999999995</v>
      </c>
      <c r="D25" s="12">
        <f>AVERAGE(D14:D23)</f>
        <v>3324</v>
      </c>
      <c r="E25" s="12">
        <f t="shared" ref="E25:F25" si="1">AVERAGE(E14:E23)</f>
        <v>10.54721</v>
      </c>
      <c r="F25" s="12">
        <f t="shared" si="1"/>
        <v>79.795000000000002</v>
      </c>
      <c r="G25" s="12">
        <f>(COUNTIF(G14:G23,"Yes")/10)*100</f>
        <v>0</v>
      </c>
      <c r="H25" s="12">
        <f>AVERAGE(H14:H23)</f>
        <v>88.495000000000005</v>
      </c>
      <c r="I25" s="12">
        <f>AVERAGE(I14:I23)</f>
        <v>62.065000000000012</v>
      </c>
      <c r="J25" s="12">
        <f>AVERAGE(J14:J23)</f>
        <v>27.024000000000001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10.705892885118947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8</v>
      </c>
      <c r="C30">
        <v>1.04</v>
      </c>
      <c r="D30">
        <v>69.62</v>
      </c>
      <c r="E30">
        <v>1907</v>
      </c>
      <c r="F30">
        <v>37.586199999999998</v>
      </c>
      <c r="G30">
        <v>43.45</v>
      </c>
      <c r="H30" t="str">
        <f>IF(F30=0,"Yes","No")</f>
        <v>No</v>
      </c>
      <c r="I30">
        <v>86.86</v>
      </c>
      <c r="J30" s="13">
        <v>59.03</v>
      </c>
      <c r="K30">
        <v>32.61</v>
      </c>
    </row>
    <row r="31" spans="1:14" x14ac:dyDescent="0.2">
      <c r="A31" s="10">
        <v>2</v>
      </c>
      <c r="B31">
        <v>9</v>
      </c>
      <c r="C31">
        <v>1.36</v>
      </c>
      <c r="D31">
        <v>83.28</v>
      </c>
      <c r="E31">
        <v>1890</v>
      </c>
      <c r="F31">
        <v>40.831200000000003</v>
      </c>
      <c r="G31">
        <v>49.27</v>
      </c>
      <c r="H31" t="str">
        <f t="shared" ref="H31:H39" si="2">IF(F31=0,"Yes","No")</f>
        <v>No</v>
      </c>
      <c r="I31">
        <v>86.78</v>
      </c>
      <c r="J31" s="13">
        <v>56.74</v>
      </c>
      <c r="K31">
        <v>35.4</v>
      </c>
    </row>
    <row r="32" spans="1:14" x14ac:dyDescent="0.2">
      <c r="A32" s="10">
        <v>3</v>
      </c>
      <c r="B32">
        <v>8</v>
      </c>
      <c r="C32">
        <v>0.8</v>
      </c>
      <c r="D32">
        <v>100.73</v>
      </c>
      <c r="E32">
        <v>1955</v>
      </c>
      <c r="F32">
        <v>39.762</v>
      </c>
      <c r="G32">
        <v>60.68</v>
      </c>
      <c r="H32" t="str">
        <f t="shared" si="2"/>
        <v>No</v>
      </c>
      <c r="I32">
        <v>90.06</v>
      </c>
      <c r="J32">
        <v>51.94</v>
      </c>
      <c r="K32">
        <v>26.72</v>
      </c>
    </row>
    <row r="33" spans="1:14" x14ac:dyDescent="0.2">
      <c r="A33" s="10">
        <v>4</v>
      </c>
      <c r="B33">
        <v>9</v>
      </c>
      <c r="C33">
        <v>0.56000000000000005</v>
      </c>
      <c r="D33">
        <v>102.06</v>
      </c>
      <c r="E33">
        <v>1806</v>
      </c>
      <c r="F33">
        <v>43.757300000000001</v>
      </c>
      <c r="G33">
        <v>57.4</v>
      </c>
      <c r="H33" t="str">
        <f t="shared" si="2"/>
        <v>No</v>
      </c>
      <c r="I33">
        <v>92.09</v>
      </c>
      <c r="J33">
        <v>51.37</v>
      </c>
      <c r="K33">
        <v>21.01</v>
      </c>
    </row>
    <row r="34" spans="1:14" x14ac:dyDescent="0.2">
      <c r="A34" s="10">
        <v>5</v>
      </c>
      <c r="B34">
        <v>10</v>
      </c>
      <c r="C34">
        <v>0.64</v>
      </c>
      <c r="D34">
        <v>84.66</v>
      </c>
      <c r="E34">
        <v>2004</v>
      </c>
      <c r="F34">
        <v>42.790900000000001</v>
      </c>
      <c r="G34">
        <v>48.44</v>
      </c>
      <c r="H34" t="str">
        <f t="shared" si="2"/>
        <v>No</v>
      </c>
      <c r="I34">
        <v>91.42</v>
      </c>
      <c r="J34">
        <v>53.79</v>
      </c>
      <c r="K34">
        <v>27.01</v>
      </c>
    </row>
    <row r="35" spans="1:14" x14ac:dyDescent="0.2">
      <c r="A35" s="10">
        <v>6</v>
      </c>
      <c r="B35">
        <v>9</v>
      </c>
      <c r="C35">
        <v>0.56000000000000005</v>
      </c>
      <c r="D35">
        <v>99.16</v>
      </c>
      <c r="E35">
        <v>1800</v>
      </c>
      <c r="F35">
        <v>40.389699999999998</v>
      </c>
      <c r="G35">
        <v>59.11</v>
      </c>
      <c r="H35" t="str">
        <f t="shared" si="2"/>
        <v>No</v>
      </c>
      <c r="I35">
        <v>91.49</v>
      </c>
      <c r="J35">
        <v>55.38</v>
      </c>
      <c r="K35">
        <v>23.03</v>
      </c>
    </row>
    <row r="36" spans="1:14" x14ac:dyDescent="0.2">
      <c r="A36" s="10">
        <v>7</v>
      </c>
      <c r="B36">
        <v>8</v>
      </c>
      <c r="C36">
        <v>1.1200000000000001</v>
      </c>
      <c r="D36">
        <v>82.81</v>
      </c>
      <c r="E36">
        <v>1800</v>
      </c>
      <c r="F36">
        <v>36.146900000000002</v>
      </c>
      <c r="G36">
        <v>52.88</v>
      </c>
      <c r="H36" t="str">
        <f t="shared" si="2"/>
        <v>No</v>
      </c>
      <c r="I36">
        <v>85.63</v>
      </c>
      <c r="J36">
        <v>61.27</v>
      </c>
      <c r="K36">
        <v>31.58</v>
      </c>
    </row>
    <row r="37" spans="1:14" x14ac:dyDescent="0.2">
      <c r="A37" s="10">
        <v>8</v>
      </c>
      <c r="B37">
        <v>8</v>
      </c>
      <c r="C37">
        <v>1.44</v>
      </c>
      <c r="D37">
        <v>78.849999999999994</v>
      </c>
      <c r="E37">
        <v>2600</v>
      </c>
      <c r="F37">
        <v>35.371899999999997</v>
      </c>
      <c r="G37">
        <v>50.96</v>
      </c>
      <c r="H37" t="str">
        <f t="shared" si="2"/>
        <v>No</v>
      </c>
      <c r="I37">
        <v>80.61</v>
      </c>
      <c r="J37">
        <v>66.819999999999993</v>
      </c>
      <c r="K37">
        <v>38.65</v>
      </c>
    </row>
    <row r="38" spans="1:14" x14ac:dyDescent="0.2">
      <c r="A38" s="10">
        <v>9</v>
      </c>
      <c r="B38">
        <v>10</v>
      </c>
      <c r="C38">
        <v>0.4</v>
      </c>
      <c r="D38">
        <v>92.86</v>
      </c>
      <c r="E38">
        <v>2020</v>
      </c>
      <c r="F38">
        <v>42.042499999999997</v>
      </c>
      <c r="G38">
        <v>53.82</v>
      </c>
      <c r="H38" t="str">
        <f t="shared" si="2"/>
        <v>No</v>
      </c>
      <c r="I38">
        <v>96.1</v>
      </c>
      <c r="J38">
        <v>51.99</v>
      </c>
      <c r="K38">
        <v>15.94</v>
      </c>
    </row>
    <row r="39" spans="1:14" x14ac:dyDescent="0.2">
      <c r="A39" s="10">
        <v>10</v>
      </c>
      <c r="B39">
        <v>8</v>
      </c>
      <c r="C39">
        <v>0.72</v>
      </c>
      <c r="D39">
        <v>77.81</v>
      </c>
      <c r="E39">
        <v>1800</v>
      </c>
      <c r="F39">
        <v>40.6417</v>
      </c>
      <c r="G39">
        <v>46.19</v>
      </c>
      <c r="H39" t="str">
        <f t="shared" si="2"/>
        <v>No</v>
      </c>
      <c r="I39">
        <v>90.06</v>
      </c>
      <c r="J39">
        <v>52.04</v>
      </c>
      <c r="K39">
        <v>16.89</v>
      </c>
    </row>
    <row r="41" spans="1:14" x14ac:dyDescent="0.2">
      <c r="A41" s="12" t="s">
        <v>18</v>
      </c>
      <c r="B41" s="12">
        <f>AVERAGE(B30:B39)</f>
        <v>8.6999999999999993</v>
      </c>
      <c r="C41" s="12">
        <f>AVERAGE(C30:C39)</f>
        <v>0.86400000000000021</v>
      </c>
      <c r="D41" s="3">
        <f>AVERAGE(D30:D39)</f>
        <v>87.183999999999997</v>
      </c>
      <c r="E41" s="12">
        <f t="shared" ref="E41:G41" si="3">AVERAGE(E30:E39)</f>
        <v>1958.2</v>
      </c>
      <c r="F41" s="12">
        <f t="shared" si="3"/>
        <v>39.932030000000005</v>
      </c>
      <c r="G41" s="12">
        <f t="shared" si="3"/>
        <v>52.220000000000006</v>
      </c>
      <c r="H41" s="12">
        <f>(COUNTIF(H30:H39,"Yes")/10)*100</f>
        <v>0</v>
      </c>
      <c r="I41" s="12">
        <f>AVERAGE(I30:I39)</f>
        <v>89.109999999999985</v>
      </c>
      <c r="J41" s="12">
        <f t="shared" ref="J41:K41" si="4">AVERAGE(J30:J39)</f>
        <v>56.036999999999999</v>
      </c>
      <c r="K41" s="12">
        <f t="shared" si="4"/>
        <v>26.884000000000004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40.103688750229395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B43A-9988-EC45-B0D8-90EAE177F881}">
  <dimension ref="A1:R42"/>
  <sheetViews>
    <sheetView topLeftCell="A2" zoomScale="94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4">
        <v>4</v>
      </c>
      <c r="C1" s="14">
        <v>16</v>
      </c>
      <c r="D1" s="14">
        <v>17</v>
      </c>
      <c r="E1" s="14">
        <v>18</v>
      </c>
      <c r="F1" s="14">
        <v>19</v>
      </c>
      <c r="G1" s="14">
        <v>20</v>
      </c>
      <c r="H1" s="14">
        <v>21</v>
      </c>
      <c r="I1" s="14">
        <v>22</v>
      </c>
      <c r="J1" s="14">
        <v>24</v>
      </c>
      <c r="K1" s="14">
        <v>26</v>
      </c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10</v>
      </c>
      <c r="O2" s="6">
        <v>98.97</v>
      </c>
      <c r="P2" s="5">
        <v>900</v>
      </c>
      <c r="Q2" s="7">
        <v>2.4957E-2</v>
      </c>
      <c r="R2" s="5">
        <v>69.5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1.3223030349186831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0.68</v>
      </c>
      <c r="C14">
        <v>105.2</v>
      </c>
      <c r="D14">
        <v>4589</v>
      </c>
      <c r="E14">
        <v>2.4491999999999998</v>
      </c>
      <c r="F14">
        <v>10.26</v>
      </c>
      <c r="G14" t="str">
        <f>IF(E14=0,"Yes","No")</f>
        <v>No</v>
      </c>
      <c r="H14">
        <v>94.08</v>
      </c>
      <c r="I14">
        <v>66.510000000000005</v>
      </c>
      <c r="J14">
        <v>22</v>
      </c>
    </row>
    <row r="15" spans="1:18" x14ac:dyDescent="0.2">
      <c r="A15" s="10">
        <v>2</v>
      </c>
      <c r="B15">
        <v>0.68</v>
      </c>
      <c r="C15">
        <v>105.04</v>
      </c>
      <c r="D15">
        <v>2484</v>
      </c>
      <c r="E15">
        <v>2.2890999999999999</v>
      </c>
      <c r="F15">
        <v>10.26</v>
      </c>
      <c r="G15" t="str">
        <f t="shared" ref="G15:G23" si="0">IF(E15=0,"Yes","No")</f>
        <v>No</v>
      </c>
      <c r="H15">
        <v>94.22</v>
      </c>
      <c r="I15">
        <v>66.17</v>
      </c>
      <c r="J15">
        <v>23.74</v>
      </c>
    </row>
    <row r="16" spans="1:18" x14ac:dyDescent="0.2">
      <c r="A16" s="10">
        <v>3</v>
      </c>
      <c r="B16">
        <v>1.04</v>
      </c>
      <c r="C16">
        <v>108.61</v>
      </c>
      <c r="D16">
        <v>1800</v>
      </c>
      <c r="E16">
        <v>1.3442000000000001</v>
      </c>
      <c r="F16">
        <v>107.15</v>
      </c>
      <c r="G16" t="str">
        <f t="shared" si="0"/>
        <v>No</v>
      </c>
      <c r="H16">
        <v>91.12</v>
      </c>
      <c r="I16">
        <v>70.760000000000005</v>
      </c>
      <c r="J16">
        <v>40.31</v>
      </c>
    </row>
    <row r="17" spans="1:14" x14ac:dyDescent="0.2">
      <c r="A17" s="10">
        <v>4</v>
      </c>
      <c r="B17">
        <v>0.68</v>
      </c>
      <c r="C17">
        <v>104.79</v>
      </c>
      <c r="D17">
        <v>1800</v>
      </c>
      <c r="E17">
        <v>1.6</v>
      </c>
      <c r="F17">
        <v>103.12</v>
      </c>
      <c r="G17" t="str">
        <f t="shared" si="0"/>
        <v>No</v>
      </c>
      <c r="H17">
        <v>94.44</v>
      </c>
      <c r="I17">
        <v>65.48</v>
      </c>
      <c r="J17">
        <v>18.73</v>
      </c>
    </row>
    <row r="18" spans="1:14" x14ac:dyDescent="0.2">
      <c r="A18" s="10">
        <v>5</v>
      </c>
      <c r="B18">
        <v>0.76</v>
      </c>
      <c r="C18">
        <v>106.08</v>
      </c>
      <c r="D18">
        <v>1388</v>
      </c>
      <c r="E18">
        <v>0.95489999999999997</v>
      </c>
      <c r="F18">
        <v>105.07</v>
      </c>
      <c r="G18" t="str">
        <f t="shared" si="0"/>
        <v>No</v>
      </c>
      <c r="H18">
        <v>93.3</v>
      </c>
      <c r="I18">
        <v>66.900000000000006</v>
      </c>
      <c r="J18">
        <v>26.01</v>
      </c>
    </row>
    <row r="19" spans="1:14" x14ac:dyDescent="0.2">
      <c r="A19" s="10">
        <v>6</v>
      </c>
      <c r="B19" s="11">
        <v>0.68</v>
      </c>
      <c r="C19">
        <v>105.36</v>
      </c>
      <c r="D19">
        <v>2076</v>
      </c>
      <c r="E19">
        <v>5.2455999999999996</v>
      </c>
      <c r="F19">
        <v>99.84</v>
      </c>
      <c r="G19" t="str">
        <f t="shared" si="0"/>
        <v>No</v>
      </c>
      <c r="H19">
        <v>93.93</v>
      </c>
      <c r="I19">
        <v>69.88</v>
      </c>
      <c r="J19">
        <v>26.79</v>
      </c>
    </row>
    <row r="20" spans="1:14" x14ac:dyDescent="0.2">
      <c r="A20" s="10">
        <v>7</v>
      </c>
      <c r="B20">
        <v>0.6</v>
      </c>
      <c r="C20">
        <v>104.4</v>
      </c>
      <c r="D20">
        <v>958</v>
      </c>
      <c r="E20">
        <v>0.92969999999999997</v>
      </c>
      <c r="F20">
        <v>103.43</v>
      </c>
      <c r="G20" t="str">
        <f t="shared" si="0"/>
        <v>No</v>
      </c>
      <c r="H20">
        <v>94.79</v>
      </c>
      <c r="I20">
        <v>65.78</v>
      </c>
      <c r="J20">
        <v>27.98</v>
      </c>
    </row>
    <row r="21" spans="1:14" x14ac:dyDescent="0.2">
      <c r="A21" s="10">
        <v>8</v>
      </c>
      <c r="B21">
        <v>0.88</v>
      </c>
      <c r="C21">
        <v>107.42</v>
      </c>
      <c r="D21">
        <v>1800</v>
      </c>
      <c r="E21">
        <v>1.5786</v>
      </c>
      <c r="F21">
        <v>105.76</v>
      </c>
      <c r="G21" t="str">
        <f t="shared" si="0"/>
        <v>No</v>
      </c>
      <c r="H21">
        <v>92.13</v>
      </c>
      <c r="I21">
        <v>67.790000000000006</v>
      </c>
      <c r="J21">
        <v>32.299999999999997</v>
      </c>
    </row>
    <row r="22" spans="1:14" x14ac:dyDescent="0.2">
      <c r="A22" s="10">
        <v>9</v>
      </c>
      <c r="B22">
        <v>1.1599999999999999</v>
      </c>
      <c r="C22">
        <v>109.58</v>
      </c>
      <c r="D22">
        <v>1800</v>
      </c>
      <c r="E22">
        <v>3.8256000000000001</v>
      </c>
      <c r="F22">
        <v>105.39</v>
      </c>
      <c r="G22" t="str">
        <f t="shared" si="0"/>
        <v>No</v>
      </c>
      <c r="H22">
        <v>90.32</v>
      </c>
      <c r="I22">
        <v>67.83</v>
      </c>
      <c r="J22">
        <v>30.56</v>
      </c>
    </row>
    <row r="23" spans="1:14" x14ac:dyDescent="0.2">
      <c r="A23" s="10">
        <v>10</v>
      </c>
      <c r="B23">
        <v>0.96</v>
      </c>
      <c r="C23">
        <v>107.85</v>
      </c>
      <c r="D23">
        <v>1739</v>
      </c>
      <c r="E23">
        <v>0.8871</v>
      </c>
      <c r="F23">
        <v>106.89</v>
      </c>
      <c r="G23" t="str">
        <f t="shared" si="0"/>
        <v>No</v>
      </c>
      <c r="H23">
        <v>91.76</v>
      </c>
      <c r="I23">
        <v>70.03</v>
      </c>
      <c r="J23">
        <v>37.26</v>
      </c>
    </row>
    <row r="25" spans="1:14" x14ac:dyDescent="0.2">
      <c r="A25" s="12" t="s">
        <v>18</v>
      </c>
      <c r="B25" s="12">
        <f>AVERAGE(B14:B23)</f>
        <v>0.81200000000000006</v>
      </c>
      <c r="C25" s="3">
        <f>AVERAGE(C14:C23)</f>
        <v>106.43299999999999</v>
      </c>
      <c r="D25" s="12">
        <f>AVERAGE(D14:D23)</f>
        <v>2043.4</v>
      </c>
      <c r="E25" s="12">
        <f t="shared" ref="E25:F25" si="1">AVERAGE(E14:E23)</f>
        <v>2.1104000000000003</v>
      </c>
      <c r="F25" s="12">
        <f t="shared" si="1"/>
        <v>85.717000000000013</v>
      </c>
      <c r="G25" s="12">
        <f>(COUNTIF(G14:G23,"Yes")/10)*100</f>
        <v>0</v>
      </c>
      <c r="H25" s="12">
        <f>AVERAGE(H14:H23)</f>
        <v>93.008999999999986</v>
      </c>
      <c r="I25" s="12">
        <f>AVERAGE(I14:I23)</f>
        <v>67.712999999999994</v>
      </c>
      <c r="J25" s="12">
        <f>AVERAGE(J14:J23)</f>
        <v>28.567999999999994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19.463888079824848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8</v>
      </c>
      <c r="C30">
        <v>2.52</v>
      </c>
      <c r="D30">
        <v>86.27</v>
      </c>
      <c r="E30">
        <v>2745</v>
      </c>
      <c r="F30">
        <v>31.61</v>
      </c>
      <c r="G30">
        <v>59</v>
      </c>
      <c r="H30" t="str">
        <f>IF(F30=0,"Yes","No")</f>
        <v>No</v>
      </c>
      <c r="I30">
        <v>75.39</v>
      </c>
      <c r="J30" s="13">
        <v>69.08</v>
      </c>
      <c r="K30">
        <v>58.28</v>
      </c>
    </row>
    <row r="31" spans="1:14" x14ac:dyDescent="0.2">
      <c r="A31" s="10">
        <v>2</v>
      </c>
      <c r="B31">
        <v>18</v>
      </c>
      <c r="C31">
        <v>2.6</v>
      </c>
      <c r="D31">
        <v>112.46</v>
      </c>
      <c r="E31">
        <v>4252</v>
      </c>
      <c r="F31">
        <v>46.634900000000002</v>
      </c>
      <c r="G31">
        <v>60.01</v>
      </c>
      <c r="H31" t="str">
        <f t="shared" ref="H31:H39" si="2">IF(F31=0,"Yes","No")</f>
        <v>No</v>
      </c>
      <c r="I31">
        <v>85.15</v>
      </c>
      <c r="J31" s="13">
        <v>69.28</v>
      </c>
      <c r="K31">
        <v>34.5</v>
      </c>
    </row>
    <row r="32" spans="1:14" x14ac:dyDescent="0.2">
      <c r="A32" s="10">
        <v>3</v>
      </c>
      <c r="B32">
        <v>10</v>
      </c>
      <c r="C32">
        <v>1.52</v>
      </c>
      <c r="D32">
        <v>109.23</v>
      </c>
      <c r="E32">
        <v>5170</v>
      </c>
      <c r="F32">
        <v>42.904299999999999</v>
      </c>
      <c r="G32">
        <v>62.37</v>
      </c>
      <c r="H32" t="str">
        <f t="shared" si="2"/>
        <v>No</v>
      </c>
      <c r="I32">
        <v>88.44</v>
      </c>
      <c r="J32">
        <v>57.96</v>
      </c>
      <c r="K32">
        <v>54.37</v>
      </c>
    </row>
    <row r="33" spans="1:14" x14ac:dyDescent="0.2">
      <c r="A33" s="10">
        <v>4</v>
      </c>
      <c r="B33">
        <v>9</v>
      </c>
      <c r="C33">
        <v>3</v>
      </c>
      <c r="D33">
        <v>88.6</v>
      </c>
      <c r="E33">
        <v>3659</v>
      </c>
      <c r="F33">
        <v>41.028399999999998</v>
      </c>
      <c r="G33">
        <v>52.25</v>
      </c>
      <c r="H33" t="str">
        <f t="shared" si="2"/>
        <v>No</v>
      </c>
      <c r="I33">
        <v>76.38</v>
      </c>
      <c r="J33">
        <v>60.57</v>
      </c>
      <c r="K33">
        <v>59.74</v>
      </c>
    </row>
    <row r="34" spans="1:14" x14ac:dyDescent="0.2">
      <c r="A34" s="10">
        <v>5</v>
      </c>
      <c r="B34">
        <v>8</v>
      </c>
      <c r="C34">
        <v>3.12</v>
      </c>
      <c r="D34">
        <v>99.83</v>
      </c>
      <c r="E34">
        <v>3659</v>
      </c>
      <c r="F34">
        <v>47.401000000000003</v>
      </c>
      <c r="G34">
        <v>52.51</v>
      </c>
      <c r="H34" t="str">
        <f t="shared" si="2"/>
        <v>No</v>
      </c>
      <c r="I34">
        <v>70.760000000000005</v>
      </c>
      <c r="J34">
        <v>56.4</v>
      </c>
      <c r="K34">
        <v>53.52</v>
      </c>
    </row>
    <row r="35" spans="1:14" x14ac:dyDescent="0.2">
      <c r="A35" s="10">
        <v>6</v>
      </c>
      <c r="B35">
        <v>11</v>
      </c>
      <c r="C35">
        <v>1.24</v>
      </c>
      <c r="D35">
        <v>102.89</v>
      </c>
      <c r="E35">
        <v>3659</v>
      </c>
      <c r="F35">
        <v>40.050400000000003</v>
      </c>
      <c r="G35">
        <v>61.68</v>
      </c>
      <c r="H35" t="str">
        <f t="shared" si="2"/>
        <v>No</v>
      </c>
      <c r="I35">
        <v>89.17</v>
      </c>
      <c r="J35">
        <v>61.21</v>
      </c>
      <c r="K35">
        <v>39.64</v>
      </c>
    </row>
    <row r="36" spans="1:14" x14ac:dyDescent="0.2">
      <c r="A36" s="10">
        <v>7</v>
      </c>
      <c r="B36">
        <v>8</v>
      </c>
      <c r="C36">
        <v>2.96</v>
      </c>
      <c r="D36">
        <v>110.95</v>
      </c>
      <c r="E36">
        <v>3659</v>
      </c>
      <c r="F36">
        <v>44.561500000000002</v>
      </c>
      <c r="G36">
        <v>61.51</v>
      </c>
      <c r="H36" t="str">
        <f t="shared" si="2"/>
        <v>No</v>
      </c>
      <c r="I36">
        <v>73.97</v>
      </c>
      <c r="J36">
        <v>60.26</v>
      </c>
      <c r="K36">
        <v>52.96</v>
      </c>
    </row>
    <row r="37" spans="1:14" x14ac:dyDescent="0.2">
      <c r="A37" s="10">
        <v>8</v>
      </c>
      <c r="B37">
        <v>0</v>
      </c>
      <c r="C37">
        <v>17.48</v>
      </c>
      <c r="D37">
        <v>110.36</v>
      </c>
      <c r="E37">
        <v>1906</v>
      </c>
      <c r="F37">
        <v>37.294699999999999</v>
      </c>
      <c r="G37">
        <v>69.209999999999994</v>
      </c>
      <c r="H37" t="str">
        <f t="shared" si="2"/>
        <v>No</v>
      </c>
      <c r="I37">
        <v>0</v>
      </c>
      <c r="K37">
        <v>70.540000000000006</v>
      </c>
    </row>
    <row r="38" spans="1:14" x14ac:dyDescent="0.2">
      <c r="A38" s="10">
        <v>9</v>
      </c>
      <c r="B38">
        <v>10</v>
      </c>
      <c r="C38">
        <v>2.16</v>
      </c>
      <c r="D38">
        <v>103.86</v>
      </c>
      <c r="E38">
        <v>5412</v>
      </c>
      <c r="F38">
        <v>39.638399999999997</v>
      </c>
      <c r="G38">
        <v>62.69</v>
      </c>
      <c r="H38" t="str">
        <f t="shared" si="2"/>
        <v>No</v>
      </c>
      <c r="I38">
        <v>81.069999999999993</v>
      </c>
      <c r="J38">
        <v>61.93</v>
      </c>
      <c r="K38">
        <v>39.44</v>
      </c>
    </row>
    <row r="39" spans="1:14" x14ac:dyDescent="0.2">
      <c r="A39" s="10">
        <v>10</v>
      </c>
      <c r="B39">
        <v>11</v>
      </c>
      <c r="C39">
        <v>2.96</v>
      </c>
      <c r="D39">
        <v>125.99</v>
      </c>
      <c r="E39">
        <v>3659</v>
      </c>
      <c r="F39">
        <v>52.456600000000002</v>
      </c>
      <c r="G39">
        <v>59.91</v>
      </c>
      <c r="H39" t="str">
        <f t="shared" si="2"/>
        <v>No</v>
      </c>
      <c r="I39">
        <v>80.91</v>
      </c>
      <c r="J39">
        <v>53.96</v>
      </c>
      <c r="K39">
        <v>46.4</v>
      </c>
    </row>
    <row r="41" spans="1:14" x14ac:dyDescent="0.2">
      <c r="A41" s="12" t="s">
        <v>18</v>
      </c>
      <c r="B41" s="12">
        <f>AVERAGE(B30:B39)</f>
        <v>9.3000000000000007</v>
      </c>
      <c r="C41" s="12">
        <f>AVERAGE(C30:C39)</f>
        <v>3.9559999999999995</v>
      </c>
      <c r="D41" s="3">
        <f>AVERAGE(D30:D39)</f>
        <v>105.04400000000001</v>
      </c>
      <c r="E41" s="12">
        <f t="shared" ref="E41:G41" si="3">AVERAGE(E30:E39)</f>
        <v>3778</v>
      </c>
      <c r="F41" s="12">
        <f t="shared" si="3"/>
        <v>42.358019999999996</v>
      </c>
      <c r="G41" s="12">
        <f t="shared" si="3"/>
        <v>60.113999999999997</v>
      </c>
      <c r="H41" s="12">
        <f>(COUNTIF(H30:H39,"Yes")/10)*100</f>
        <v>0</v>
      </c>
      <c r="I41" s="12">
        <f>AVERAGE(I30:I39)</f>
        <v>72.123999999999995</v>
      </c>
      <c r="J41" s="12">
        <f t="shared" ref="J41:K41" si="4">AVERAGE(J30:J39)</f>
        <v>61.18333333333333</v>
      </c>
      <c r="K41" s="12">
        <f t="shared" si="4"/>
        <v>50.939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42.772552454209674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9E89-D1B3-AF4B-89D7-596FAD248565}">
  <dimension ref="A1:R42"/>
  <sheetViews>
    <sheetView topLeftCell="A8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4">
        <v>4</v>
      </c>
      <c r="C1" s="14">
        <v>16</v>
      </c>
      <c r="D1" s="14">
        <v>17</v>
      </c>
      <c r="E1" s="14">
        <v>18</v>
      </c>
      <c r="F1" s="14">
        <v>19</v>
      </c>
      <c r="G1" s="14">
        <v>20</v>
      </c>
      <c r="H1" s="14">
        <v>21</v>
      </c>
      <c r="I1" s="14">
        <v>22</v>
      </c>
      <c r="J1" s="14">
        <v>24</v>
      </c>
      <c r="K1" s="14">
        <v>26</v>
      </c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10</v>
      </c>
      <c r="O2" s="6">
        <v>98.97</v>
      </c>
      <c r="P2" s="5">
        <v>900</v>
      </c>
      <c r="Q2" s="7">
        <v>2.4957E-2</v>
      </c>
      <c r="R2" s="5">
        <v>69.5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5.2861447261235508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1.32</v>
      </c>
      <c r="C14">
        <v>110.99</v>
      </c>
      <c r="D14">
        <v>1821</v>
      </c>
      <c r="E14">
        <v>5.9854000000000003</v>
      </c>
      <c r="F14">
        <v>104.34</v>
      </c>
      <c r="G14" t="str">
        <f>IF(E14=0,"Yes","No")</f>
        <v>No</v>
      </c>
      <c r="H14">
        <v>89.17</v>
      </c>
      <c r="I14">
        <v>69.930000000000007</v>
      </c>
      <c r="J14">
        <v>33.630000000000003</v>
      </c>
    </row>
    <row r="15" spans="1:18" x14ac:dyDescent="0.2">
      <c r="A15" s="10">
        <v>2</v>
      </c>
      <c r="B15">
        <v>1</v>
      </c>
      <c r="C15">
        <v>108.46</v>
      </c>
      <c r="D15">
        <v>1800</v>
      </c>
      <c r="E15">
        <v>2.6638000000000002</v>
      </c>
      <c r="F15">
        <v>105.57</v>
      </c>
      <c r="G15" t="str">
        <f t="shared" ref="G15:G23" si="0">IF(E15=0,"Yes","No")</f>
        <v>No</v>
      </c>
      <c r="H15">
        <v>91.25</v>
      </c>
      <c r="I15">
        <v>70.510000000000005</v>
      </c>
      <c r="J15">
        <v>33.979999999999997</v>
      </c>
    </row>
    <row r="16" spans="1:18" x14ac:dyDescent="0.2">
      <c r="A16" s="10">
        <v>3</v>
      </c>
      <c r="B16">
        <v>0.88</v>
      </c>
      <c r="C16">
        <v>107.27</v>
      </c>
      <c r="D16">
        <v>1800</v>
      </c>
      <c r="E16">
        <v>1.7808999999999999</v>
      </c>
      <c r="F16">
        <v>105.36</v>
      </c>
      <c r="G16" t="str">
        <f t="shared" si="0"/>
        <v>No</v>
      </c>
      <c r="H16">
        <v>92.27</v>
      </c>
      <c r="I16">
        <v>68</v>
      </c>
      <c r="J16">
        <v>27.15</v>
      </c>
    </row>
    <row r="17" spans="1:14" x14ac:dyDescent="0.2">
      <c r="A17" s="10">
        <v>4</v>
      </c>
      <c r="B17">
        <v>0.64</v>
      </c>
      <c r="C17">
        <v>105.19</v>
      </c>
      <c r="D17">
        <v>898</v>
      </c>
      <c r="E17">
        <v>0.8548</v>
      </c>
      <c r="F17">
        <v>104.29</v>
      </c>
      <c r="G17" t="str">
        <f t="shared" si="0"/>
        <v>No</v>
      </c>
      <c r="H17">
        <v>94.09</v>
      </c>
      <c r="I17">
        <v>68.959999999999994</v>
      </c>
      <c r="J17">
        <v>26.42</v>
      </c>
    </row>
    <row r="18" spans="1:14" x14ac:dyDescent="0.2">
      <c r="A18" s="10">
        <v>5</v>
      </c>
      <c r="B18">
        <v>0.72</v>
      </c>
      <c r="C18">
        <v>105.81</v>
      </c>
      <c r="D18">
        <v>984</v>
      </c>
      <c r="E18">
        <v>0.8679</v>
      </c>
      <c r="F18">
        <v>104.89</v>
      </c>
      <c r="G18" t="str">
        <f t="shared" si="0"/>
        <v>No</v>
      </c>
      <c r="H18">
        <v>93.54</v>
      </c>
      <c r="I18">
        <v>71.209999999999994</v>
      </c>
      <c r="J18">
        <v>32.1</v>
      </c>
    </row>
    <row r="19" spans="1:14" x14ac:dyDescent="0.2">
      <c r="A19" s="10">
        <v>6</v>
      </c>
      <c r="B19" s="11">
        <v>1.08</v>
      </c>
      <c r="C19">
        <v>109.16</v>
      </c>
      <c r="D19">
        <v>1800</v>
      </c>
      <c r="E19">
        <v>3.0306000000000002</v>
      </c>
      <c r="F19">
        <v>105.85</v>
      </c>
      <c r="G19" t="str">
        <f t="shared" si="0"/>
        <v>No</v>
      </c>
      <c r="H19">
        <v>90.66</v>
      </c>
      <c r="I19">
        <v>70.17</v>
      </c>
      <c r="J19">
        <v>31.13</v>
      </c>
    </row>
    <row r="20" spans="1:14" x14ac:dyDescent="0.2">
      <c r="A20" s="10">
        <v>7</v>
      </c>
      <c r="B20">
        <v>0.56000000000000005</v>
      </c>
      <c r="C20">
        <v>104.31</v>
      </c>
      <c r="D20">
        <v>1328</v>
      </c>
      <c r="E20">
        <v>0.93859999999999999</v>
      </c>
      <c r="F20">
        <v>103.33</v>
      </c>
      <c r="G20" t="str">
        <f t="shared" si="0"/>
        <v>No</v>
      </c>
      <c r="H20">
        <v>94.88</v>
      </c>
      <c r="I20">
        <v>67.05</v>
      </c>
      <c r="J20">
        <v>23.04</v>
      </c>
    </row>
    <row r="21" spans="1:14" x14ac:dyDescent="0.2">
      <c r="A21" s="10">
        <v>8</v>
      </c>
      <c r="B21">
        <v>0.72</v>
      </c>
      <c r="C21">
        <v>106.02</v>
      </c>
      <c r="D21">
        <v>1379</v>
      </c>
      <c r="E21">
        <v>0.99850000000000005</v>
      </c>
      <c r="F21">
        <v>104.96</v>
      </c>
      <c r="G21" t="str">
        <f t="shared" si="0"/>
        <v>No</v>
      </c>
      <c r="H21">
        <v>93.35</v>
      </c>
      <c r="I21">
        <v>69.8</v>
      </c>
      <c r="J21">
        <v>25.96</v>
      </c>
    </row>
    <row r="22" spans="1:14" x14ac:dyDescent="0.2">
      <c r="A22" s="10">
        <v>9</v>
      </c>
      <c r="B22">
        <v>1</v>
      </c>
      <c r="C22">
        <v>108.59</v>
      </c>
      <c r="D22">
        <v>1800</v>
      </c>
      <c r="E22">
        <v>1.6133</v>
      </c>
      <c r="F22">
        <v>106.83</v>
      </c>
      <c r="G22" t="str">
        <f t="shared" si="0"/>
        <v>No</v>
      </c>
      <c r="H22">
        <v>91.14</v>
      </c>
      <c r="I22">
        <v>69.7</v>
      </c>
      <c r="J22">
        <v>38.78</v>
      </c>
    </row>
    <row r="23" spans="1:14" x14ac:dyDescent="0.2">
      <c r="A23" s="10">
        <v>10</v>
      </c>
      <c r="B23">
        <v>0.84</v>
      </c>
      <c r="C23">
        <v>106.95</v>
      </c>
      <c r="D23">
        <v>1800</v>
      </c>
      <c r="E23">
        <v>1.4371</v>
      </c>
      <c r="F23">
        <v>105.42</v>
      </c>
      <c r="G23" t="str">
        <f t="shared" si="0"/>
        <v>No</v>
      </c>
      <c r="H23">
        <v>92.53</v>
      </c>
      <c r="I23">
        <v>68.39</v>
      </c>
      <c r="J23">
        <v>27.27</v>
      </c>
    </row>
    <row r="25" spans="1:14" x14ac:dyDescent="0.2">
      <c r="A25" s="12" t="s">
        <v>18</v>
      </c>
      <c r="B25" s="12">
        <f>AVERAGE(B14:B23)</f>
        <v>0.87600000000000011</v>
      </c>
      <c r="C25" s="3">
        <f>AVERAGE(C14:C23)</f>
        <v>107.27500000000001</v>
      </c>
      <c r="D25" s="12">
        <f>AVERAGE(D14:D23)</f>
        <v>1541</v>
      </c>
      <c r="E25" s="12">
        <f t="shared" ref="E25:F25" si="1">AVERAGE(E14:E23)</f>
        <v>2.01709</v>
      </c>
      <c r="F25" s="12">
        <f t="shared" si="1"/>
        <v>105.08400000000002</v>
      </c>
      <c r="G25" s="12">
        <f>(COUNTIF(G14:G23,"Yes")/10)*100</f>
        <v>0</v>
      </c>
      <c r="H25" s="12">
        <f>AVERAGE(H14:H23)</f>
        <v>92.287999999999997</v>
      </c>
      <c r="I25" s="12">
        <f>AVERAGE(I14:I23)</f>
        <v>69.372</v>
      </c>
      <c r="J25" s="12">
        <f>AVERAGE(J14:J23)</f>
        <v>29.945999999999998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2.0424143556280474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7</v>
      </c>
      <c r="C30">
        <v>3.32</v>
      </c>
      <c r="D30">
        <v>94.09</v>
      </c>
      <c r="E30">
        <v>1800</v>
      </c>
      <c r="F30">
        <v>36.862099999999998</v>
      </c>
      <c r="G30">
        <v>59.41</v>
      </c>
      <c r="H30" t="str">
        <f>IF(F30=0,"Yes","No")</f>
        <v>No</v>
      </c>
      <c r="I30">
        <v>66.209999999999994</v>
      </c>
      <c r="J30" s="13">
        <v>66.27</v>
      </c>
      <c r="K30">
        <v>57.1</v>
      </c>
    </row>
    <row r="31" spans="1:14" x14ac:dyDescent="0.2">
      <c r="A31" s="10">
        <v>2</v>
      </c>
      <c r="B31">
        <v>7</v>
      </c>
      <c r="C31">
        <v>3.56</v>
      </c>
      <c r="D31">
        <v>136.35</v>
      </c>
      <c r="E31">
        <v>1800</v>
      </c>
      <c r="F31">
        <v>32.787100000000002</v>
      </c>
      <c r="G31">
        <v>91.64</v>
      </c>
      <c r="H31" t="str">
        <f t="shared" ref="H31:H39" si="2">IF(F31=0,"Yes","No")</f>
        <v>No</v>
      </c>
      <c r="I31">
        <v>71.459999999999994</v>
      </c>
      <c r="J31" s="13">
        <v>67.430000000000007</v>
      </c>
      <c r="K31">
        <v>61.47</v>
      </c>
    </row>
    <row r="32" spans="1:14" x14ac:dyDescent="0.2">
      <c r="A32" s="10">
        <v>3</v>
      </c>
      <c r="B32">
        <v>8</v>
      </c>
      <c r="C32">
        <v>2.3199999999999998</v>
      </c>
      <c r="D32">
        <v>91.33</v>
      </c>
      <c r="E32">
        <v>2351</v>
      </c>
      <c r="F32">
        <v>40.5032</v>
      </c>
      <c r="G32">
        <v>54.34</v>
      </c>
      <c r="H32" t="str">
        <f t="shared" si="2"/>
        <v>No</v>
      </c>
      <c r="I32">
        <v>75.59</v>
      </c>
      <c r="J32">
        <v>60.37</v>
      </c>
      <c r="K32">
        <v>44.15</v>
      </c>
    </row>
    <row r="33" spans="1:14" x14ac:dyDescent="0.2">
      <c r="A33" s="10">
        <v>4</v>
      </c>
      <c r="B33">
        <v>9</v>
      </c>
      <c r="C33">
        <v>1.96</v>
      </c>
      <c r="D33">
        <v>83.7</v>
      </c>
      <c r="E33">
        <v>1800</v>
      </c>
      <c r="F33">
        <v>33.693800000000003</v>
      </c>
      <c r="G33">
        <v>55.5</v>
      </c>
      <c r="H33" t="str">
        <f t="shared" si="2"/>
        <v>No</v>
      </c>
      <c r="I33">
        <v>80.11</v>
      </c>
      <c r="J33">
        <v>65.45</v>
      </c>
      <c r="K33">
        <v>44.96</v>
      </c>
    </row>
    <row r="34" spans="1:14" x14ac:dyDescent="0.2">
      <c r="A34" s="10">
        <v>5</v>
      </c>
      <c r="B34">
        <v>8</v>
      </c>
      <c r="C34">
        <v>2.36</v>
      </c>
      <c r="D34">
        <v>101.54</v>
      </c>
      <c r="E34">
        <v>1800</v>
      </c>
      <c r="F34">
        <v>35.102200000000003</v>
      </c>
      <c r="G34">
        <v>65.89</v>
      </c>
      <c r="H34" t="str">
        <f t="shared" si="2"/>
        <v>No</v>
      </c>
      <c r="I34">
        <v>79.89</v>
      </c>
      <c r="J34">
        <v>64.3</v>
      </c>
      <c r="K34">
        <v>52.45</v>
      </c>
    </row>
    <row r="35" spans="1:14" x14ac:dyDescent="0.2">
      <c r="A35" s="10">
        <v>6</v>
      </c>
      <c r="B35">
        <v>9</v>
      </c>
      <c r="C35">
        <v>2.16</v>
      </c>
      <c r="D35">
        <v>114.56</v>
      </c>
      <c r="E35">
        <v>1800</v>
      </c>
      <c r="F35">
        <v>31.133700000000001</v>
      </c>
      <c r="G35">
        <v>78.89</v>
      </c>
      <c r="H35" t="str">
        <f t="shared" si="2"/>
        <v>No</v>
      </c>
      <c r="I35">
        <v>80.45</v>
      </c>
      <c r="J35">
        <v>69.27</v>
      </c>
      <c r="K35">
        <v>41.49</v>
      </c>
    </row>
    <row r="36" spans="1:14" x14ac:dyDescent="0.2">
      <c r="A36" s="10">
        <v>7</v>
      </c>
      <c r="B36">
        <v>8</v>
      </c>
      <c r="C36">
        <v>1.76</v>
      </c>
      <c r="D36">
        <v>90.01</v>
      </c>
      <c r="E36">
        <v>1800</v>
      </c>
      <c r="F36">
        <v>35.866100000000003</v>
      </c>
      <c r="G36">
        <v>57.72</v>
      </c>
      <c r="H36" t="str">
        <f t="shared" si="2"/>
        <v>No</v>
      </c>
      <c r="I36">
        <v>82.57</v>
      </c>
      <c r="J36">
        <v>62.8</v>
      </c>
      <c r="K36">
        <v>39.049999999999997</v>
      </c>
    </row>
    <row r="37" spans="1:14" x14ac:dyDescent="0.2">
      <c r="A37" s="10">
        <v>8</v>
      </c>
      <c r="B37">
        <v>8</v>
      </c>
      <c r="C37">
        <v>2.04</v>
      </c>
      <c r="D37">
        <v>79.41</v>
      </c>
      <c r="E37">
        <v>1800</v>
      </c>
      <c r="F37">
        <v>36.6282</v>
      </c>
      <c r="G37">
        <v>50.32</v>
      </c>
      <c r="H37" t="str">
        <f t="shared" si="2"/>
        <v>No</v>
      </c>
      <c r="I37">
        <v>78.37</v>
      </c>
      <c r="J37">
        <v>65.39</v>
      </c>
      <c r="K37">
        <v>41.85</v>
      </c>
    </row>
    <row r="38" spans="1:14" x14ac:dyDescent="0.2">
      <c r="A38" s="10">
        <v>9</v>
      </c>
      <c r="B38">
        <v>8</v>
      </c>
      <c r="C38">
        <v>2.4</v>
      </c>
      <c r="D38">
        <v>137.43</v>
      </c>
      <c r="E38">
        <v>1800</v>
      </c>
      <c r="F38">
        <v>34.8735</v>
      </c>
      <c r="G38">
        <v>89.51</v>
      </c>
      <c r="H38" t="str">
        <f t="shared" si="2"/>
        <v>No</v>
      </c>
      <c r="I38">
        <v>80.39</v>
      </c>
      <c r="J38">
        <v>64.66</v>
      </c>
      <c r="K38">
        <v>47.47</v>
      </c>
    </row>
    <row r="39" spans="1:14" x14ac:dyDescent="0.2">
      <c r="A39" s="10">
        <v>10</v>
      </c>
      <c r="B39">
        <v>7</v>
      </c>
      <c r="C39">
        <v>2.84</v>
      </c>
      <c r="D39">
        <v>90.47</v>
      </c>
      <c r="E39">
        <v>1800</v>
      </c>
      <c r="F39">
        <v>35.191499999999998</v>
      </c>
      <c r="G39">
        <v>58.63</v>
      </c>
      <c r="H39" t="str">
        <f t="shared" si="2"/>
        <v>No</v>
      </c>
      <c r="I39">
        <v>71.73</v>
      </c>
      <c r="J39">
        <v>65.209999999999994</v>
      </c>
      <c r="K39">
        <v>60.46</v>
      </c>
    </row>
    <row r="41" spans="1:14" x14ac:dyDescent="0.2">
      <c r="A41" s="12" t="s">
        <v>18</v>
      </c>
      <c r="B41" s="12">
        <f>AVERAGE(B30:B39)</f>
        <v>7.9</v>
      </c>
      <c r="C41" s="12">
        <f>AVERAGE(C30:C39)</f>
        <v>2.472</v>
      </c>
      <c r="D41" s="3">
        <f>AVERAGE(D30:D39)</f>
        <v>101.88899999999998</v>
      </c>
      <c r="E41" s="12">
        <f t="shared" ref="E41:G41" si="3">AVERAGE(E30:E39)</f>
        <v>1855.1</v>
      </c>
      <c r="F41" s="12">
        <f t="shared" si="3"/>
        <v>35.264140000000005</v>
      </c>
      <c r="G41" s="12">
        <f t="shared" si="3"/>
        <v>66.185000000000002</v>
      </c>
      <c r="H41" s="12">
        <f>(COUNTIF(H30:H39,"Yes")/10)*100</f>
        <v>0</v>
      </c>
      <c r="I41" s="12">
        <f>AVERAGE(I30:I39)</f>
        <v>76.676999999999992</v>
      </c>
      <c r="J41" s="12">
        <f t="shared" ref="J41:K41" si="4">AVERAGE(J30:J39)</f>
        <v>65.114999999999995</v>
      </c>
      <c r="K41" s="12">
        <f t="shared" si="4"/>
        <v>49.045000000000002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35.042055570277448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32C0-5D35-254D-82F9-A59E475EE952}">
  <dimension ref="A1:R42"/>
  <sheetViews>
    <sheetView topLeftCell="A10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4">
        <v>4</v>
      </c>
      <c r="C1" s="14">
        <v>16</v>
      </c>
      <c r="D1" s="14">
        <v>17</v>
      </c>
      <c r="E1" s="14">
        <v>18</v>
      </c>
      <c r="F1" s="14">
        <v>19</v>
      </c>
      <c r="G1" s="14">
        <v>20</v>
      </c>
      <c r="H1" s="14">
        <v>21</v>
      </c>
      <c r="I1" s="14">
        <v>22</v>
      </c>
      <c r="J1" s="14">
        <v>24</v>
      </c>
      <c r="K1" s="14">
        <v>26</v>
      </c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10</v>
      </c>
      <c r="O2" s="6">
        <v>98.97</v>
      </c>
      <c r="P2" s="5">
        <v>900</v>
      </c>
      <c r="Q2" s="7">
        <v>2.4957E-2</v>
      </c>
      <c r="R2" s="5">
        <v>69.5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3.3198694184709769E-2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1.28</v>
      </c>
      <c r="C14">
        <v>112.25</v>
      </c>
      <c r="D14">
        <v>1906</v>
      </c>
      <c r="E14">
        <v>6.8116000000000003</v>
      </c>
      <c r="F14">
        <v>104.61</v>
      </c>
      <c r="G14" t="str">
        <f>IF(E14=0,"Yes","No")</f>
        <v>No</v>
      </c>
      <c r="H14">
        <v>88.17</v>
      </c>
      <c r="I14">
        <v>69.81</v>
      </c>
      <c r="J14">
        <v>41.54</v>
      </c>
    </row>
    <row r="15" spans="1:18" x14ac:dyDescent="0.2">
      <c r="A15" s="10">
        <v>2</v>
      </c>
      <c r="B15">
        <v>0.92</v>
      </c>
      <c r="C15">
        <v>108.73</v>
      </c>
      <c r="D15">
        <v>1890</v>
      </c>
      <c r="E15">
        <v>8.6486000000000001</v>
      </c>
      <c r="F15">
        <v>99.33</v>
      </c>
      <c r="G15" t="str">
        <f t="shared" ref="G15:G23" si="0">IF(E15=0,"Yes","No")</f>
        <v>No</v>
      </c>
      <c r="H15">
        <v>91.02</v>
      </c>
      <c r="I15">
        <v>65.83</v>
      </c>
      <c r="J15">
        <v>30.58</v>
      </c>
    </row>
    <row r="16" spans="1:18" x14ac:dyDescent="0.2">
      <c r="A16" s="10">
        <v>3</v>
      </c>
      <c r="B16">
        <v>0.8</v>
      </c>
      <c r="C16">
        <v>107.62</v>
      </c>
      <c r="D16">
        <v>1698</v>
      </c>
      <c r="E16">
        <v>0.97319999999999995</v>
      </c>
      <c r="F16">
        <v>106.58</v>
      </c>
      <c r="G16" t="str">
        <f t="shared" si="0"/>
        <v>No</v>
      </c>
      <c r="H16">
        <v>91.96</v>
      </c>
      <c r="I16">
        <v>67.64</v>
      </c>
      <c r="J16">
        <v>28.98</v>
      </c>
    </row>
    <row r="17" spans="1:14" x14ac:dyDescent="0.2">
      <c r="A17" s="10">
        <v>4</v>
      </c>
      <c r="B17">
        <v>0.76</v>
      </c>
      <c r="C17">
        <v>107.1</v>
      </c>
      <c r="D17">
        <v>1694</v>
      </c>
      <c r="E17">
        <v>0.97789999999999999</v>
      </c>
      <c r="F17">
        <v>106.05</v>
      </c>
      <c r="G17" t="str">
        <f t="shared" si="0"/>
        <v>No</v>
      </c>
      <c r="H17">
        <v>92.41</v>
      </c>
      <c r="I17">
        <v>67.73</v>
      </c>
      <c r="J17">
        <v>29.84</v>
      </c>
    </row>
    <row r="18" spans="1:14" x14ac:dyDescent="0.2">
      <c r="A18" s="10">
        <v>5</v>
      </c>
      <c r="B18">
        <v>0.88</v>
      </c>
      <c r="C18">
        <v>108.12</v>
      </c>
      <c r="D18">
        <v>1800</v>
      </c>
      <c r="E18">
        <v>4.2522000000000002</v>
      </c>
      <c r="F18">
        <v>103.52</v>
      </c>
      <c r="G18" t="str">
        <f t="shared" si="0"/>
        <v>No</v>
      </c>
      <c r="H18">
        <v>91.54</v>
      </c>
      <c r="I18">
        <v>67.760000000000005</v>
      </c>
      <c r="J18">
        <v>28.86</v>
      </c>
    </row>
    <row r="19" spans="1:14" x14ac:dyDescent="0.2">
      <c r="A19" s="10">
        <v>6</v>
      </c>
      <c r="B19" s="11">
        <v>1.32</v>
      </c>
      <c r="C19">
        <v>112.82</v>
      </c>
      <c r="D19">
        <v>1800</v>
      </c>
      <c r="E19">
        <v>5.8868</v>
      </c>
      <c r="F19">
        <v>106.18</v>
      </c>
      <c r="G19" t="str">
        <f t="shared" si="0"/>
        <v>No</v>
      </c>
      <c r="H19">
        <v>87.72</v>
      </c>
      <c r="I19">
        <v>70.180000000000007</v>
      </c>
      <c r="J19">
        <v>42.19</v>
      </c>
    </row>
    <row r="20" spans="1:14" x14ac:dyDescent="0.2">
      <c r="A20" s="10">
        <v>7</v>
      </c>
      <c r="B20">
        <v>0.92</v>
      </c>
      <c r="C20">
        <v>108.22</v>
      </c>
      <c r="D20">
        <v>2294</v>
      </c>
      <c r="E20">
        <v>2.9792999999999998</v>
      </c>
      <c r="F20">
        <v>104.99</v>
      </c>
      <c r="G20" t="str">
        <f t="shared" si="0"/>
        <v>No</v>
      </c>
      <c r="H20">
        <v>91.45</v>
      </c>
      <c r="I20">
        <v>70.66</v>
      </c>
      <c r="J20">
        <v>30.15</v>
      </c>
    </row>
    <row r="21" spans="1:14" x14ac:dyDescent="0.2">
      <c r="A21" s="10">
        <v>8</v>
      </c>
      <c r="B21">
        <v>0.72</v>
      </c>
      <c r="C21">
        <v>106.29</v>
      </c>
      <c r="D21">
        <v>1800</v>
      </c>
      <c r="E21">
        <v>1.0202</v>
      </c>
      <c r="F21">
        <v>105.21</v>
      </c>
      <c r="G21" t="str">
        <f t="shared" si="0"/>
        <v>No</v>
      </c>
      <c r="H21">
        <v>93.11</v>
      </c>
      <c r="I21">
        <v>67.25</v>
      </c>
      <c r="J21">
        <v>29.15</v>
      </c>
    </row>
    <row r="22" spans="1:14" x14ac:dyDescent="0.2">
      <c r="A22" s="10">
        <v>9</v>
      </c>
      <c r="B22">
        <v>0.76</v>
      </c>
      <c r="C22">
        <v>106.82</v>
      </c>
      <c r="D22">
        <v>1684</v>
      </c>
      <c r="E22">
        <v>0.84889999999999999</v>
      </c>
      <c r="F22">
        <v>105.91</v>
      </c>
      <c r="G22" t="str">
        <f t="shared" si="0"/>
        <v>No</v>
      </c>
      <c r="H22">
        <v>92.65</v>
      </c>
      <c r="I22">
        <v>68.540000000000006</v>
      </c>
      <c r="J22">
        <v>31.36</v>
      </c>
    </row>
    <row r="23" spans="1:14" x14ac:dyDescent="0.2">
      <c r="A23" s="10">
        <v>10</v>
      </c>
      <c r="B23">
        <v>0.72</v>
      </c>
      <c r="C23">
        <v>106.77</v>
      </c>
      <c r="D23">
        <v>1843</v>
      </c>
      <c r="E23">
        <v>6.6706000000000003</v>
      </c>
      <c r="F23">
        <v>99.65</v>
      </c>
      <c r="G23" t="str">
        <f t="shared" si="0"/>
        <v>No</v>
      </c>
      <c r="H23">
        <v>92.69</v>
      </c>
      <c r="I23">
        <v>68.81</v>
      </c>
      <c r="J23">
        <v>29.12</v>
      </c>
    </row>
    <row r="25" spans="1:14" x14ac:dyDescent="0.2">
      <c r="A25" s="12" t="s">
        <v>18</v>
      </c>
      <c r="B25" s="12">
        <f>AVERAGE(B14:B23)</f>
        <v>0.90800000000000003</v>
      </c>
      <c r="C25" s="3">
        <f>AVERAGE(C14:C23)</f>
        <v>108.474</v>
      </c>
      <c r="D25" s="12">
        <f>AVERAGE(D14:D23)</f>
        <v>1840.9</v>
      </c>
      <c r="E25" s="12">
        <f t="shared" ref="E25:F25" si="1">AVERAGE(E14:E23)</f>
        <v>3.90693</v>
      </c>
      <c r="F25" s="12">
        <f t="shared" si="1"/>
        <v>104.203</v>
      </c>
      <c r="G25" s="12">
        <f>(COUNTIF(G14:G23,"Yes")/10)*100</f>
        <v>0</v>
      </c>
      <c r="H25" s="12">
        <f>AVERAGE(H14:H23)</f>
        <v>91.272000000000006</v>
      </c>
      <c r="I25" s="12">
        <f>AVERAGE(I14:I23)</f>
        <v>68.421000000000006</v>
      </c>
      <c r="J25" s="12">
        <f>AVERAGE(J14:J23)</f>
        <v>32.177000000000007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3.9373490421667872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18</v>
      </c>
      <c r="C30">
        <v>2.56</v>
      </c>
      <c r="D30">
        <v>128.49</v>
      </c>
      <c r="E30">
        <v>5290</v>
      </c>
      <c r="F30">
        <v>37.813800000000001</v>
      </c>
      <c r="G30">
        <v>79.900000000000006</v>
      </c>
      <c r="H30" t="str">
        <f>IF(F30=0,"Yes","No")</f>
        <v>No</v>
      </c>
      <c r="I30">
        <v>77.89</v>
      </c>
      <c r="J30" s="13">
        <v>68.47</v>
      </c>
      <c r="K30">
        <v>47.71</v>
      </c>
    </row>
    <row r="31" spans="1:14" x14ac:dyDescent="0.2">
      <c r="A31" s="10">
        <v>2</v>
      </c>
      <c r="B31">
        <v>12</v>
      </c>
      <c r="C31">
        <v>0.72</v>
      </c>
      <c r="D31">
        <v>97.96</v>
      </c>
      <c r="E31">
        <v>2291</v>
      </c>
      <c r="F31">
        <v>41.771099999999997</v>
      </c>
      <c r="G31">
        <v>57.04</v>
      </c>
      <c r="H31" t="str">
        <f t="shared" ref="H31:H39" si="2">IF(F31=0,"Yes","No")</f>
        <v>No</v>
      </c>
      <c r="I31">
        <v>93.46</v>
      </c>
      <c r="J31" s="13">
        <v>57.73</v>
      </c>
      <c r="K31">
        <v>22.08</v>
      </c>
    </row>
    <row r="32" spans="1:14" x14ac:dyDescent="0.2">
      <c r="A32" s="10">
        <v>3</v>
      </c>
      <c r="B32">
        <v>12</v>
      </c>
      <c r="C32">
        <v>0.64</v>
      </c>
      <c r="D32">
        <v>106.08</v>
      </c>
      <c r="E32">
        <v>3659</v>
      </c>
      <c r="F32">
        <v>39.435499999999998</v>
      </c>
      <c r="G32">
        <v>64.239999999999995</v>
      </c>
      <c r="H32" t="str">
        <f t="shared" si="2"/>
        <v>No</v>
      </c>
      <c r="I32">
        <v>95.03</v>
      </c>
      <c r="J32">
        <v>58.95</v>
      </c>
      <c r="K32">
        <v>16.22</v>
      </c>
    </row>
    <row r="33" spans="1:14" x14ac:dyDescent="0.2">
      <c r="A33" s="10">
        <v>4</v>
      </c>
      <c r="B33">
        <v>10</v>
      </c>
      <c r="C33">
        <v>1.08</v>
      </c>
      <c r="D33">
        <v>83.81</v>
      </c>
      <c r="E33">
        <v>3659</v>
      </c>
      <c r="F33">
        <v>41.688899999999997</v>
      </c>
      <c r="G33">
        <v>48.87</v>
      </c>
      <c r="H33" t="str">
        <f t="shared" si="2"/>
        <v>No</v>
      </c>
      <c r="I33">
        <v>91.63</v>
      </c>
      <c r="J33">
        <v>57.02</v>
      </c>
      <c r="K33">
        <v>36.43</v>
      </c>
    </row>
    <row r="34" spans="1:14" x14ac:dyDescent="0.2">
      <c r="A34" s="10">
        <v>5</v>
      </c>
      <c r="B34">
        <v>11</v>
      </c>
      <c r="C34">
        <v>1.48</v>
      </c>
      <c r="D34">
        <v>104.93</v>
      </c>
      <c r="E34">
        <v>3659</v>
      </c>
      <c r="F34">
        <v>38.677900000000001</v>
      </c>
      <c r="G34">
        <v>64.349999999999994</v>
      </c>
      <c r="H34" t="str">
        <f t="shared" si="2"/>
        <v>No</v>
      </c>
      <c r="I34">
        <v>88.47</v>
      </c>
      <c r="J34">
        <v>60.13</v>
      </c>
      <c r="K34">
        <v>34.67</v>
      </c>
    </row>
    <row r="35" spans="1:14" x14ac:dyDescent="0.2">
      <c r="A35" s="10">
        <v>6</v>
      </c>
      <c r="B35">
        <v>11</v>
      </c>
      <c r="C35">
        <v>1.04</v>
      </c>
      <c r="D35">
        <v>106.31</v>
      </c>
      <c r="E35">
        <v>3659</v>
      </c>
      <c r="F35">
        <v>43.883400000000002</v>
      </c>
      <c r="G35">
        <v>59.66</v>
      </c>
      <c r="H35" t="str">
        <f t="shared" si="2"/>
        <v>No</v>
      </c>
      <c r="I35">
        <v>89.71</v>
      </c>
      <c r="J35">
        <v>56.93</v>
      </c>
      <c r="K35">
        <v>26.92</v>
      </c>
    </row>
    <row r="36" spans="1:14" x14ac:dyDescent="0.2">
      <c r="A36" s="10">
        <v>7</v>
      </c>
      <c r="B36">
        <v>11</v>
      </c>
      <c r="C36">
        <v>0.84</v>
      </c>
      <c r="D36">
        <v>130.87</v>
      </c>
      <c r="E36">
        <v>3659</v>
      </c>
      <c r="F36">
        <v>44.270400000000002</v>
      </c>
      <c r="G36">
        <v>72.930000000000007</v>
      </c>
      <c r="H36" t="str">
        <f t="shared" si="2"/>
        <v>No</v>
      </c>
      <c r="I36">
        <v>94.73</v>
      </c>
      <c r="J36">
        <v>54.79</v>
      </c>
      <c r="K36">
        <v>27.29</v>
      </c>
    </row>
    <row r="37" spans="1:14" x14ac:dyDescent="0.2">
      <c r="A37" s="10">
        <v>8</v>
      </c>
      <c r="B37">
        <v>12</v>
      </c>
      <c r="C37">
        <v>0.2</v>
      </c>
      <c r="D37">
        <v>137.6</v>
      </c>
      <c r="E37">
        <v>3635</v>
      </c>
      <c r="F37">
        <v>48.226700000000001</v>
      </c>
      <c r="G37">
        <v>71.239999999999995</v>
      </c>
      <c r="H37" t="str">
        <f t="shared" si="2"/>
        <v>No</v>
      </c>
      <c r="I37">
        <v>98.4</v>
      </c>
      <c r="J37">
        <v>50.72</v>
      </c>
      <c r="K37">
        <v>5.75</v>
      </c>
    </row>
    <row r="38" spans="1:14" x14ac:dyDescent="0.2">
      <c r="A38" s="10">
        <v>9</v>
      </c>
      <c r="B38">
        <v>9</v>
      </c>
      <c r="C38">
        <v>1.4</v>
      </c>
      <c r="D38">
        <v>96.5</v>
      </c>
      <c r="E38">
        <v>3188</v>
      </c>
      <c r="F38">
        <v>38.170699999999997</v>
      </c>
      <c r="G38">
        <v>59.66</v>
      </c>
      <c r="H38" t="str">
        <f t="shared" si="2"/>
        <v>No</v>
      </c>
      <c r="I38">
        <v>85.06</v>
      </c>
      <c r="J38">
        <v>60.83</v>
      </c>
      <c r="K38">
        <v>36.299999999999997</v>
      </c>
    </row>
    <row r="39" spans="1:14" x14ac:dyDescent="0.2">
      <c r="A39" s="10">
        <v>10</v>
      </c>
      <c r="B39">
        <v>9</v>
      </c>
      <c r="C39">
        <v>1.56</v>
      </c>
      <c r="D39">
        <v>91.83</v>
      </c>
      <c r="E39">
        <v>6047</v>
      </c>
      <c r="F39">
        <v>38.264899999999997</v>
      </c>
      <c r="G39">
        <v>56.69</v>
      </c>
      <c r="H39" t="str">
        <f t="shared" si="2"/>
        <v>No</v>
      </c>
      <c r="I39">
        <v>84.38</v>
      </c>
      <c r="J39">
        <v>59.72</v>
      </c>
      <c r="K39">
        <v>41.19</v>
      </c>
    </row>
    <row r="41" spans="1:14" x14ac:dyDescent="0.2">
      <c r="A41" s="12" t="s">
        <v>18</v>
      </c>
      <c r="B41" s="12">
        <f>AVERAGE(B30:B39)</f>
        <v>11.5</v>
      </c>
      <c r="C41" s="12">
        <f>AVERAGE(C30:C39)</f>
        <v>1.1520000000000001</v>
      </c>
      <c r="D41" s="3">
        <f>AVERAGE(D30:D39)</f>
        <v>108.43799999999999</v>
      </c>
      <c r="E41" s="12">
        <f t="shared" ref="E41:G41" si="3">AVERAGE(E30:E39)</f>
        <v>3874.6</v>
      </c>
      <c r="F41" s="12">
        <f t="shared" si="3"/>
        <v>41.220330000000004</v>
      </c>
      <c r="G41" s="12">
        <f t="shared" si="3"/>
        <v>63.457999999999991</v>
      </c>
      <c r="H41" s="12">
        <f>(COUNTIF(H30:H39,"Yes")/10)*100</f>
        <v>0</v>
      </c>
      <c r="I41" s="12">
        <f>AVERAGE(I30:I39)</f>
        <v>89.876000000000005</v>
      </c>
      <c r="J41" s="12">
        <f t="shared" ref="J41:K41" si="4">AVERAGE(J30:J39)</f>
        <v>58.529000000000011</v>
      </c>
      <c r="K41" s="12">
        <f t="shared" si="4"/>
        <v>29.456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41.479924011877756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93B6-9790-7E44-A502-246E5B8EA777}">
  <dimension ref="A1:R42"/>
  <sheetViews>
    <sheetView topLeftCell="A4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4">
        <v>4</v>
      </c>
      <c r="C1" s="14">
        <v>16</v>
      </c>
      <c r="D1" s="14">
        <v>17</v>
      </c>
      <c r="E1" s="14">
        <v>18</v>
      </c>
      <c r="F1" s="14">
        <v>19</v>
      </c>
      <c r="G1" s="14">
        <v>20</v>
      </c>
      <c r="H1" s="14">
        <v>21</v>
      </c>
      <c r="I1" s="14">
        <v>22</v>
      </c>
      <c r="J1" s="14">
        <v>24</v>
      </c>
      <c r="K1" s="14">
        <v>26</v>
      </c>
      <c r="L1" s="1"/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10</v>
      </c>
      <c r="O2" s="6">
        <v>98.97</v>
      </c>
      <c r="P2" s="5">
        <v>900</v>
      </c>
      <c r="Q2" s="7">
        <v>2.4957E-2</v>
      </c>
      <c r="R2" s="5">
        <v>69.5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10.276810551092279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0.56000000000000005</v>
      </c>
      <c r="C14">
        <v>105.16</v>
      </c>
      <c r="D14">
        <v>1800</v>
      </c>
      <c r="E14">
        <v>1.857</v>
      </c>
      <c r="F14">
        <v>103.21</v>
      </c>
      <c r="G14" t="str">
        <f>IF(E14=0,"Yes","No")</f>
        <v>No</v>
      </c>
      <c r="H14">
        <v>94.11</v>
      </c>
      <c r="I14">
        <v>66.040000000000006</v>
      </c>
      <c r="J14">
        <v>17.16</v>
      </c>
    </row>
    <row r="15" spans="1:18" x14ac:dyDescent="0.2">
      <c r="A15" s="10">
        <v>2</v>
      </c>
      <c r="B15">
        <v>0.48</v>
      </c>
      <c r="C15">
        <v>105.08</v>
      </c>
      <c r="D15">
        <v>976</v>
      </c>
      <c r="E15">
        <v>0.89159999999999995</v>
      </c>
      <c r="F15">
        <v>104.14</v>
      </c>
      <c r="G15" t="str">
        <f t="shared" ref="G15:G23" si="0">IF(E15=0,"Yes","No")</f>
        <v>No</v>
      </c>
      <c r="H15">
        <v>94.18</v>
      </c>
      <c r="I15">
        <v>68.58</v>
      </c>
      <c r="J15">
        <v>20.92</v>
      </c>
    </row>
    <row r="16" spans="1:18" x14ac:dyDescent="0.2">
      <c r="A16" s="10">
        <v>3</v>
      </c>
      <c r="B16">
        <v>0.84</v>
      </c>
      <c r="C16">
        <v>109.13</v>
      </c>
      <c r="D16">
        <v>4781</v>
      </c>
      <c r="E16">
        <v>4.0968999999999998</v>
      </c>
      <c r="F16">
        <v>104.66</v>
      </c>
      <c r="G16" t="str">
        <f t="shared" si="0"/>
        <v>No</v>
      </c>
      <c r="H16">
        <v>90.69</v>
      </c>
      <c r="I16">
        <v>68.14</v>
      </c>
      <c r="J16">
        <v>32.020000000000003</v>
      </c>
    </row>
    <row r="17" spans="1:14" x14ac:dyDescent="0.2">
      <c r="A17" s="10">
        <v>4</v>
      </c>
      <c r="B17">
        <v>2.8</v>
      </c>
      <c r="C17">
        <v>127.55</v>
      </c>
      <c r="D17">
        <v>3659</v>
      </c>
      <c r="E17">
        <v>22.408999999999999</v>
      </c>
      <c r="F17">
        <v>98.97</v>
      </c>
      <c r="G17" t="str">
        <f t="shared" si="0"/>
        <v>No</v>
      </c>
      <c r="H17">
        <v>77.59</v>
      </c>
      <c r="I17">
        <v>66.08</v>
      </c>
      <c r="J17">
        <v>36.270000000000003</v>
      </c>
    </row>
    <row r="18" spans="1:14" x14ac:dyDescent="0.2">
      <c r="A18" s="10">
        <v>5</v>
      </c>
      <c r="B18">
        <v>1.84</v>
      </c>
      <c r="C18">
        <v>117.35</v>
      </c>
      <c r="D18">
        <v>2378</v>
      </c>
      <c r="E18">
        <v>15.66</v>
      </c>
      <c r="F18">
        <v>98.97</v>
      </c>
      <c r="G18" t="str">
        <f t="shared" si="0"/>
        <v>No</v>
      </c>
      <c r="H18">
        <v>84.34</v>
      </c>
      <c r="I18">
        <v>67.89</v>
      </c>
      <c r="J18">
        <v>42.96</v>
      </c>
    </row>
    <row r="19" spans="1:14" x14ac:dyDescent="0.2">
      <c r="A19" s="10">
        <v>6</v>
      </c>
      <c r="B19" s="11">
        <v>1.28</v>
      </c>
      <c r="C19">
        <v>112.62</v>
      </c>
      <c r="D19">
        <v>4940</v>
      </c>
      <c r="E19">
        <v>12.12</v>
      </c>
      <c r="F19">
        <v>98.97</v>
      </c>
      <c r="G19" t="str">
        <f t="shared" si="0"/>
        <v>No</v>
      </c>
      <c r="H19">
        <v>87.88</v>
      </c>
      <c r="I19">
        <v>65.16</v>
      </c>
      <c r="J19">
        <v>24.98</v>
      </c>
    </row>
    <row r="20" spans="1:14" x14ac:dyDescent="0.2">
      <c r="A20" s="10">
        <v>7</v>
      </c>
      <c r="B20">
        <v>1.08</v>
      </c>
      <c r="C20">
        <v>110.09</v>
      </c>
      <c r="D20">
        <v>3659</v>
      </c>
      <c r="E20">
        <v>10.1044</v>
      </c>
      <c r="F20">
        <v>98.97</v>
      </c>
      <c r="G20" t="str">
        <f t="shared" si="0"/>
        <v>No</v>
      </c>
      <c r="H20">
        <v>89.9</v>
      </c>
      <c r="I20">
        <v>67.03</v>
      </c>
      <c r="J20">
        <v>26.49</v>
      </c>
    </row>
    <row r="21" spans="1:14" x14ac:dyDescent="0.2">
      <c r="A21" s="10">
        <v>8</v>
      </c>
      <c r="B21">
        <v>1.88</v>
      </c>
      <c r="C21">
        <v>119.43</v>
      </c>
      <c r="D21">
        <v>3659</v>
      </c>
      <c r="E21">
        <v>17.1295</v>
      </c>
      <c r="F21">
        <v>98.97</v>
      </c>
      <c r="G21" t="str">
        <f t="shared" si="0"/>
        <v>No</v>
      </c>
      <c r="H21">
        <v>82.87</v>
      </c>
      <c r="I21">
        <v>68.56</v>
      </c>
      <c r="J21">
        <v>30.4</v>
      </c>
    </row>
    <row r="22" spans="1:14" x14ac:dyDescent="0.2">
      <c r="A22" s="10">
        <v>9</v>
      </c>
      <c r="B22">
        <v>1.32</v>
      </c>
      <c r="C22">
        <v>113.34</v>
      </c>
      <c r="D22">
        <v>3659</v>
      </c>
      <c r="E22">
        <v>12.677899999999999</v>
      </c>
      <c r="F22">
        <v>98.97</v>
      </c>
      <c r="G22" t="str">
        <f t="shared" si="0"/>
        <v>No</v>
      </c>
      <c r="H22">
        <v>87.32</v>
      </c>
      <c r="I22">
        <v>67.53</v>
      </c>
      <c r="J22">
        <v>24.08</v>
      </c>
    </row>
    <row r="23" spans="1:14" x14ac:dyDescent="0.2">
      <c r="A23" s="10">
        <v>10</v>
      </c>
      <c r="B23">
        <v>1.48</v>
      </c>
      <c r="C23">
        <v>114.05</v>
      </c>
      <c r="D23">
        <v>3659</v>
      </c>
      <c r="E23">
        <v>13.225</v>
      </c>
      <c r="F23">
        <v>98.97</v>
      </c>
      <c r="G23" t="str">
        <f t="shared" si="0"/>
        <v>No</v>
      </c>
      <c r="H23">
        <v>86.77</v>
      </c>
      <c r="I23">
        <v>65.72</v>
      </c>
      <c r="J23">
        <v>24.47</v>
      </c>
    </row>
    <row r="25" spans="1:14" x14ac:dyDescent="0.2">
      <c r="A25" s="12" t="s">
        <v>18</v>
      </c>
      <c r="B25" s="12">
        <f>AVERAGE(B14:B23)</f>
        <v>1.3559999999999999</v>
      </c>
      <c r="C25" s="3">
        <f>AVERAGE(C14:C23)</f>
        <v>113.38000000000002</v>
      </c>
      <c r="D25" s="12">
        <f>AVERAGE(D14:D23)</f>
        <v>3317</v>
      </c>
      <c r="E25" s="12">
        <f t="shared" ref="E25:F25" si="1">AVERAGE(E14:E23)</f>
        <v>11.01713</v>
      </c>
      <c r="F25" s="12">
        <f t="shared" si="1"/>
        <v>100.48000000000002</v>
      </c>
      <c r="G25" s="12">
        <f>(COUNTIF(G14:G23,"Yes")/10)*100</f>
        <v>0</v>
      </c>
      <c r="H25" s="12">
        <f>AVERAGE(H14:H23)</f>
        <v>87.565000000000012</v>
      </c>
      <c r="I25" s="12">
        <f>AVERAGE(I14:I23)</f>
        <v>67.073000000000008</v>
      </c>
      <c r="J25" s="12">
        <f>AVERAGE(J14:J23)</f>
        <v>27.975000000000001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11.377668019050983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8</v>
      </c>
      <c r="C30">
        <v>1.6</v>
      </c>
      <c r="D30">
        <v>123.86</v>
      </c>
      <c r="E30">
        <v>4652</v>
      </c>
      <c r="F30">
        <v>38.252499999999998</v>
      </c>
      <c r="G30">
        <v>76.48</v>
      </c>
      <c r="H30" t="str">
        <f>IF(F30=0,"Yes","No")</f>
        <v>No</v>
      </c>
      <c r="I30">
        <v>80.41</v>
      </c>
      <c r="J30" s="13">
        <v>60.43</v>
      </c>
      <c r="K30">
        <v>35.15</v>
      </c>
    </row>
    <row r="31" spans="1:14" x14ac:dyDescent="0.2">
      <c r="A31" s="10">
        <v>2</v>
      </c>
      <c r="B31">
        <v>9</v>
      </c>
      <c r="C31">
        <v>1.04</v>
      </c>
      <c r="D31">
        <v>81.45</v>
      </c>
      <c r="E31">
        <v>1800</v>
      </c>
      <c r="F31">
        <v>36.6648</v>
      </c>
      <c r="G31">
        <v>51.59</v>
      </c>
      <c r="H31" t="str">
        <f t="shared" ref="H31:H39" si="2">IF(F31=0,"Yes","No")</f>
        <v>No</v>
      </c>
      <c r="I31">
        <v>86.3</v>
      </c>
      <c r="J31" s="13">
        <v>60.82</v>
      </c>
      <c r="K31">
        <v>37.51</v>
      </c>
    </row>
    <row r="32" spans="1:14" x14ac:dyDescent="0.2">
      <c r="A32" s="10">
        <v>3</v>
      </c>
      <c r="B32">
        <v>10</v>
      </c>
      <c r="C32">
        <v>0.76</v>
      </c>
      <c r="D32">
        <v>130.05000000000001</v>
      </c>
      <c r="E32">
        <v>2059</v>
      </c>
      <c r="F32">
        <v>36.124699999999997</v>
      </c>
      <c r="G32">
        <v>83.07</v>
      </c>
      <c r="H32" t="str">
        <f t="shared" si="2"/>
        <v>No</v>
      </c>
      <c r="I32">
        <v>94.58</v>
      </c>
      <c r="J32">
        <v>58.41</v>
      </c>
      <c r="K32">
        <v>22.83</v>
      </c>
    </row>
    <row r="33" spans="1:14" x14ac:dyDescent="0.2">
      <c r="A33" s="10">
        <v>4</v>
      </c>
      <c r="B33">
        <v>10</v>
      </c>
      <c r="C33">
        <v>1.24</v>
      </c>
      <c r="D33">
        <v>87.87</v>
      </c>
      <c r="E33">
        <v>5342</v>
      </c>
      <c r="F33">
        <v>38.453600000000002</v>
      </c>
      <c r="G33">
        <v>54.08</v>
      </c>
      <c r="H33" t="str">
        <f t="shared" si="2"/>
        <v>No</v>
      </c>
      <c r="I33">
        <v>88.76</v>
      </c>
      <c r="J33">
        <v>59.62</v>
      </c>
      <c r="K33">
        <v>35.729999999999997</v>
      </c>
    </row>
    <row r="34" spans="1:14" x14ac:dyDescent="0.2">
      <c r="A34" s="10">
        <v>5</v>
      </c>
      <c r="B34">
        <v>10</v>
      </c>
      <c r="C34">
        <v>0.72</v>
      </c>
      <c r="D34">
        <v>103.5</v>
      </c>
      <c r="E34">
        <v>1947</v>
      </c>
      <c r="F34">
        <v>38.447899999999997</v>
      </c>
      <c r="G34">
        <v>63.8</v>
      </c>
      <c r="H34" t="str">
        <f t="shared" si="2"/>
        <v>No</v>
      </c>
      <c r="I34">
        <v>93.05</v>
      </c>
      <c r="J34">
        <v>59.82</v>
      </c>
      <c r="K34">
        <v>25.14</v>
      </c>
    </row>
    <row r="35" spans="1:14" x14ac:dyDescent="0.2">
      <c r="A35" s="10">
        <v>6</v>
      </c>
      <c r="B35">
        <v>10</v>
      </c>
      <c r="C35">
        <v>0.76</v>
      </c>
      <c r="D35">
        <v>90.63</v>
      </c>
      <c r="E35">
        <v>6213</v>
      </c>
      <c r="F35">
        <v>40.8324</v>
      </c>
      <c r="G35">
        <v>53.62</v>
      </c>
      <c r="H35" t="str">
        <f t="shared" si="2"/>
        <v>No</v>
      </c>
      <c r="I35">
        <v>91.8</v>
      </c>
      <c r="J35">
        <v>55.07</v>
      </c>
      <c r="K35">
        <v>24.77</v>
      </c>
    </row>
    <row r="36" spans="1:14" x14ac:dyDescent="0.2">
      <c r="A36" s="10">
        <v>7</v>
      </c>
      <c r="B36">
        <v>10</v>
      </c>
      <c r="C36">
        <v>0.4</v>
      </c>
      <c r="D36">
        <v>128.38999999999999</v>
      </c>
      <c r="E36">
        <v>2205</v>
      </c>
      <c r="F36">
        <v>39.124899999999997</v>
      </c>
      <c r="G36">
        <v>78.16</v>
      </c>
      <c r="H36" t="str">
        <f t="shared" si="2"/>
        <v>No</v>
      </c>
      <c r="I36">
        <v>95.96</v>
      </c>
      <c r="J36">
        <v>57.69</v>
      </c>
      <c r="K36">
        <v>10.96</v>
      </c>
    </row>
    <row r="37" spans="1:14" x14ac:dyDescent="0.2">
      <c r="A37" s="10">
        <v>8</v>
      </c>
      <c r="B37">
        <v>10</v>
      </c>
      <c r="C37">
        <v>0.96</v>
      </c>
      <c r="D37">
        <v>104.5</v>
      </c>
      <c r="E37">
        <v>2089</v>
      </c>
      <c r="F37">
        <v>38.762700000000002</v>
      </c>
      <c r="G37">
        <v>63.99</v>
      </c>
      <c r="H37" t="str">
        <f t="shared" si="2"/>
        <v>No</v>
      </c>
      <c r="I37">
        <v>89.18</v>
      </c>
      <c r="J37">
        <v>59.43</v>
      </c>
      <c r="K37">
        <v>21.28</v>
      </c>
    </row>
    <row r="38" spans="1:14" x14ac:dyDescent="0.2">
      <c r="A38" s="10">
        <v>9</v>
      </c>
      <c r="B38">
        <v>10</v>
      </c>
      <c r="C38">
        <v>1.6</v>
      </c>
      <c r="D38">
        <v>91.95</v>
      </c>
      <c r="E38">
        <v>1800</v>
      </c>
      <c r="F38">
        <v>32.877499999999998</v>
      </c>
      <c r="G38">
        <v>61.72</v>
      </c>
      <c r="H38" t="str">
        <f t="shared" si="2"/>
        <v>No</v>
      </c>
      <c r="I38">
        <v>83.19</v>
      </c>
      <c r="J38">
        <v>64.77</v>
      </c>
      <c r="K38">
        <v>40.130000000000003</v>
      </c>
    </row>
    <row r="39" spans="1:14" x14ac:dyDescent="0.2">
      <c r="A39" s="10">
        <v>10</v>
      </c>
      <c r="B39">
        <v>10</v>
      </c>
      <c r="C39">
        <v>0.6</v>
      </c>
      <c r="D39">
        <v>85.94</v>
      </c>
      <c r="E39">
        <v>1800</v>
      </c>
      <c r="F39">
        <v>39.929000000000002</v>
      </c>
      <c r="G39">
        <v>51.63</v>
      </c>
      <c r="H39" t="str">
        <f t="shared" si="2"/>
        <v>No</v>
      </c>
      <c r="I39">
        <v>92.27</v>
      </c>
      <c r="J39">
        <v>57.49</v>
      </c>
      <c r="K39">
        <v>15.08</v>
      </c>
    </row>
    <row r="41" spans="1:14" x14ac:dyDescent="0.2">
      <c r="A41" s="12" t="s">
        <v>18</v>
      </c>
      <c r="B41" s="12">
        <f>AVERAGE(B30:B39)</f>
        <v>9.6999999999999993</v>
      </c>
      <c r="C41" s="12">
        <f>AVERAGE(C30:C39)</f>
        <v>0.96799999999999997</v>
      </c>
      <c r="D41" s="3">
        <f>AVERAGE(D30:D39)</f>
        <v>102.81400000000001</v>
      </c>
      <c r="E41" s="12">
        <f t="shared" ref="E41:G41" si="3">AVERAGE(E30:E39)</f>
        <v>2990.7</v>
      </c>
      <c r="F41" s="12">
        <f t="shared" si="3"/>
        <v>37.947000000000003</v>
      </c>
      <c r="G41" s="12">
        <f t="shared" si="3"/>
        <v>63.814</v>
      </c>
      <c r="H41" s="12">
        <f>(COUNTIF(H30:H39,"Yes")/10)*100</f>
        <v>0</v>
      </c>
      <c r="I41" s="12">
        <f>AVERAGE(I30:I39)</f>
        <v>89.55</v>
      </c>
      <c r="J41" s="12">
        <f t="shared" ref="J41:K41" si="4">AVERAGE(J30:J39)</f>
        <v>59.355000000000004</v>
      </c>
      <c r="K41" s="12">
        <f t="shared" si="4"/>
        <v>26.858000000000004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37.932577275468326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C636-3A79-EB4E-B6E8-24B8EB72B53C}">
  <dimension ref="A1:R42"/>
  <sheetViews>
    <sheetView topLeftCell="A8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21</v>
      </c>
      <c r="C1" s="1">
        <v>22</v>
      </c>
      <c r="D1" s="1">
        <v>23</v>
      </c>
      <c r="E1" s="1">
        <v>24</v>
      </c>
      <c r="F1" s="1">
        <v>28</v>
      </c>
      <c r="G1" s="1">
        <v>29</v>
      </c>
      <c r="H1" s="1">
        <v>30</v>
      </c>
      <c r="I1" s="1">
        <v>31</v>
      </c>
      <c r="J1" s="1">
        <v>32</v>
      </c>
      <c r="K1" s="1">
        <v>33</v>
      </c>
      <c r="L1" s="1">
        <v>34</v>
      </c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11</v>
      </c>
      <c r="O2" s="6">
        <v>116.65</v>
      </c>
      <c r="P2" s="5">
        <v>367.28</v>
      </c>
      <c r="Q2" s="7">
        <v>0</v>
      </c>
      <c r="R2" s="5">
        <v>116.65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2.3683893506806166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1.68</v>
      </c>
      <c r="C14">
        <v>130.88</v>
      </c>
      <c r="D14">
        <v>3944</v>
      </c>
      <c r="E14">
        <v>3.7475999999999998</v>
      </c>
      <c r="F14">
        <v>125.97</v>
      </c>
      <c r="G14" t="str">
        <f>IF(E14=0,"Yes","No")</f>
        <v>No</v>
      </c>
      <c r="H14">
        <v>89.13</v>
      </c>
      <c r="I14">
        <v>65.680000000000007</v>
      </c>
      <c r="J14">
        <v>33.42</v>
      </c>
    </row>
    <row r="15" spans="1:18" x14ac:dyDescent="0.2">
      <c r="A15" s="10">
        <v>2</v>
      </c>
      <c r="B15">
        <v>1.24</v>
      </c>
      <c r="C15">
        <v>126.75</v>
      </c>
      <c r="D15">
        <v>1877</v>
      </c>
      <c r="E15">
        <v>7.0994999999999999</v>
      </c>
      <c r="F15">
        <v>117.75</v>
      </c>
      <c r="G15" t="str">
        <f t="shared" ref="G15:G23" si="0">IF(E15=0,"Yes","No")</f>
        <v>No</v>
      </c>
      <c r="H15">
        <v>92.03</v>
      </c>
      <c r="I15">
        <v>65.31</v>
      </c>
      <c r="J15">
        <v>24.88</v>
      </c>
    </row>
    <row r="16" spans="1:18" x14ac:dyDescent="0.2">
      <c r="A16" s="10">
        <v>3</v>
      </c>
      <c r="B16">
        <v>1.72</v>
      </c>
      <c r="C16">
        <v>131.18</v>
      </c>
      <c r="D16">
        <v>1800</v>
      </c>
      <c r="E16">
        <v>7.9446000000000003</v>
      </c>
      <c r="F16">
        <v>120.76</v>
      </c>
      <c r="G16" t="str">
        <f t="shared" si="0"/>
        <v>No</v>
      </c>
      <c r="H16">
        <v>88.92</v>
      </c>
      <c r="I16">
        <v>67.91</v>
      </c>
      <c r="J16">
        <v>33.29</v>
      </c>
    </row>
    <row r="17" spans="1:14" x14ac:dyDescent="0.2">
      <c r="A17" s="10">
        <v>4</v>
      </c>
      <c r="B17">
        <v>1.2</v>
      </c>
      <c r="C17">
        <v>127.15</v>
      </c>
      <c r="D17">
        <v>611</v>
      </c>
      <c r="E17">
        <v>0.99719999999999998</v>
      </c>
      <c r="F17">
        <v>125.88</v>
      </c>
      <c r="G17" t="str">
        <f t="shared" si="0"/>
        <v>No</v>
      </c>
      <c r="H17">
        <v>91.74</v>
      </c>
      <c r="I17">
        <v>65.38</v>
      </c>
      <c r="J17">
        <v>28.13</v>
      </c>
    </row>
    <row r="18" spans="1:14" x14ac:dyDescent="0.2">
      <c r="A18" s="10">
        <v>5</v>
      </c>
      <c r="B18">
        <v>0.48</v>
      </c>
      <c r="C18">
        <v>120.7</v>
      </c>
      <c r="D18">
        <v>173</v>
      </c>
      <c r="E18">
        <v>0.98399999999999999</v>
      </c>
      <c r="F18">
        <v>119.51</v>
      </c>
      <c r="G18" t="str">
        <f t="shared" si="0"/>
        <v>No</v>
      </c>
      <c r="H18">
        <v>96.64</v>
      </c>
      <c r="I18">
        <v>64.25</v>
      </c>
      <c r="J18">
        <v>14.31</v>
      </c>
    </row>
    <row r="19" spans="1:14" x14ac:dyDescent="0.2">
      <c r="A19" s="10">
        <v>6</v>
      </c>
      <c r="B19" s="11">
        <v>1.4</v>
      </c>
      <c r="C19">
        <v>128.6</v>
      </c>
      <c r="D19">
        <v>1149</v>
      </c>
      <c r="E19">
        <v>0.90959999999999996</v>
      </c>
      <c r="F19">
        <v>127.43</v>
      </c>
      <c r="G19" t="str">
        <f t="shared" si="0"/>
        <v>No</v>
      </c>
      <c r="H19">
        <v>90.71</v>
      </c>
      <c r="I19">
        <v>66.13</v>
      </c>
      <c r="J19">
        <v>32.33</v>
      </c>
    </row>
    <row r="20" spans="1:14" x14ac:dyDescent="0.2">
      <c r="A20" s="10">
        <v>7</v>
      </c>
      <c r="B20">
        <v>1.08</v>
      </c>
      <c r="C20">
        <v>126.43</v>
      </c>
      <c r="D20">
        <v>328</v>
      </c>
      <c r="E20">
        <v>0.97970000000000002</v>
      </c>
      <c r="F20">
        <v>125.19</v>
      </c>
      <c r="G20" t="str">
        <f t="shared" si="0"/>
        <v>No</v>
      </c>
      <c r="H20">
        <v>92.27</v>
      </c>
      <c r="I20">
        <v>68.819999999999993</v>
      </c>
      <c r="J20">
        <v>40.92</v>
      </c>
    </row>
    <row r="21" spans="1:14" x14ac:dyDescent="0.2">
      <c r="A21" s="10">
        <v>8</v>
      </c>
      <c r="B21">
        <v>1.1599999999999999</v>
      </c>
      <c r="C21">
        <v>126.81</v>
      </c>
      <c r="D21">
        <v>692</v>
      </c>
      <c r="E21">
        <v>0.84360000000000002</v>
      </c>
      <c r="F21">
        <v>125.74</v>
      </c>
      <c r="G21" t="str">
        <f t="shared" si="0"/>
        <v>No</v>
      </c>
      <c r="H21">
        <v>91.98</v>
      </c>
      <c r="I21">
        <v>66.92</v>
      </c>
      <c r="J21">
        <v>34.520000000000003</v>
      </c>
    </row>
    <row r="22" spans="1:14" x14ac:dyDescent="0.2">
      <c r="A22" s="10">
        <v>9</v>
      </c>
      <c r="B22">
        <v>1.44</v>
      </c>
      <c r="C22">
        <v>129.30000000000001</v>
      </c>
      <c r="D22">
        <v>1141</v>
      </c>
      <c r="E22">
        <v>0.96930000000000005</v>
      </c>
      <c r="F22">
        <v>128.04</v>
      </c>
      <c r="G22" t="str">
        <f t="shared" si="0"/>
        <v>No</v>
      </c>
      <c r="H22">
        <v>90.22</v>
      </c>
      <c r="I22">
        <v>65.319999999999993</v>
      </c>
      <c r="J22">
        <v>31.23</v>
      </c>
    </row>
    <row r="23" spans="1:14" x14ac:dyDescent="0.2">
      <c r="A23" s="10">
        <v>10</v>
      </c>
      <c r="B23">
        <v>1.24</v>
      </c>
      <c r="C23">
        <v>126.84</v>
      </c>
      <c r="D23">
        <v>1800</v>
      </c>
      <c r="E23">
        <v>1.2593000000000001</v>
      </c>
      <c r="F23">
        <v>125.24</v>
      </c>
      <c r="G23" t="str">
        <f t="shared" si="0"/>
        <v>No</v>
      </c>
      <c r="H23">
        <v>91.97</v>
      </c>
      <c r="I23">
        <v>63.55</v>
      </c>
      <c r="J23">
        <v>23.17</v>
      </c>
    </row>
    <row r="25" spans="1:14" x14ac:dyDescent="0.2">
      <c r="A25" s="12" t="s">
        <v>18</v>
      </c>
      <c r="B25" s="12">
        <f>AVERAGE(B14:B23)</f>
        <v>1.264</v>
      </c>
      <c r="C25" s="3">
        <f>AVERAGE(C14:C23)</f>
        <v>127.46399999999998</v>
      </c>
      <c r="D25" s="12">
        <f>AVERAGE(D14:D23)</f>
        <v>1351.5</v>
      </c>
      <c r="E25" s="12">
        <f t="shared" ref="E25:F25" si="1">AVERAGE(E14:E23)</f>
        <v>2.5734400000000002</v>
      </c>
      <c r="F25" s="12">
        <f t="shared" si="1"/>
        <v>124.151</v>
      </c>
      <c r="G25" s="12">
        <f>(COUNTIF(G14:G23,"Yes")/10)*100</f>
        <v>0</v>
      </c>
      <c r="H25" s="12">
        <f>AVERAGE(H14:H23)</f>
        <v>91.561000000000007</v>
      </c>
      <c r="I25" s="12">
        <f>AVERAGE(I14:I23)</f>
        <v>65.926999999999992</v>
      </c>
      <c r="J25" s="12">
        <f>AVERAGE(J14:J23)</f>
        <v>29.620000000000005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2.5991652545032231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11</v>
      </c>
      <c r="C30">
        <v>3.68</v>
      </c>
      <c r="D30">
        <v>118.18</v>
      </c>
      <c r="E30">
        <v>1800</v>
      </c>
      <c r="F30">
        <v>23.7255</v>
      </c>
      <c r="G30">
        <v>90.14</v>
      </c>
      <c r="H30" t="str">
        <f>IF(F30=0,"Yes","No")</f>
        <v>No</v>
      </c>
      <c r="I30">
        <v>68.41</v>
      </c>
      <c r="J30" s="13">
        <v>61.01</v>
      </c>
      <c r="K30">
        <v>50.29</v>
      </c>
    </row>
    <row r="31" spans="1:14" x14ac:dyDescent="0.2">
      <c r="A31" s="10">
        <v>2</v>
      </c>
      <c r="B31">
        <v>8</v>
      </c>
      <c r="C31">
        <v>3.12</v>
      </c>
      <c r="D31">
        <v>110.52</v>
      </c>
      <c r="E31">
        <v>1800</v>
      </c>
      <c r="F31">
        <v>23.470500000000001</v>
      </c>
      <c r="G31">
        <v>84.58</v>
      </c>
      <c r="H31" t="str">
        <f t="shared" ref="H31:H39" si="2">IF(F31=0,"Yes","No")</f>
        <v>No</v>
      </c>
      <c r="I31">
        <v>72.38</v>
      </c>
      <c r="J31" s="13">
        <v>68.510000000000005</v>
      </c>
      <c r="K31">
        <v>57.82</v>
      </c>
    </row>
    <row r="32" spans="1:14" x14ac:dyDescent="0.2">
      <c r="A32" s="10">
        <v>3</v>
      </c>
      <c r="B32">
        <v>13</v>
      </c>
      <c r="C32">
        <v>3</v>
      </c>
      <c r="D32">
        <v>156.13999999999999</v>
      </c>
      <c r="E32">
        <v>1800</v>
      </c>
      <c r="F32">
        <v>25.431999999999999</v>
      </c>
      <c r="G32">
        <v>116.43</v>
      </c>
      <c r="H32" t="str">
        <f t="shared" si="2"/>
        <v>No</v>
      </c>
      <c r="I32">
        <v>83.09</v>
      </c>
      <c r="J32">
        <v>59.83</v>
      </c>
      <c r="K32">
        <v>51.19</v>
      </c>
    </row>
    <row r="33" spans="1:14" x14ac:dyDescent="0.2">
      <c r="A33" s="10">
        <v>4</v>
      </c>
      <c r="B33">
        <v>9</v>
      </c>
      <c r="C33">
        <v>2.3199999999999998</v>
      </c>
      <c r="D33">
        <v>117.99</v>
      </c>
      <c r="E33">
        <v>1800</v>
      </c>
      <c r="F33">
        <v>24.486499999999999</v>
      </c>
      <c r="G33">
        <v>89.1</v>
      </c>
      <c r="H33" t="str">
        <f t="shared" si="2"/>
        <v>No</v>
      </c>
      <c r="I33">
        <v>79.78</v>
      </c>
      <c r="J33">
        <v>69.19</v>
      </c>
      <c r="K33">
        <v>45.54</v>
      </c>
    </row>
    <row r="34" spans="1:14" x14ac:dyDescent="0.2">
      <c r="A34" s="10">
        <v>5</v>
      </c>
      <c r="B34">
        <v>8</v>
      </c>
      <c r="C34">
        <v>2.4</v>
      </c>
      <c r="D34">
        <v>124.8</v>
      </c>
      <c r="E34">
        <v>1800</v>
      </c>
      <c r="F34">
        <v>24.9849</v>
      </c>
      <c r="G34">
        <v>93.62</v>
      </c>
      <c r="H34" t="str">
        <f t="shared" si="2"/>
        <v>No</v>
      </c>
      <c r="I34">
        <v>77.819999999999993</v>
      </c>
      <c r="J34">
        <v>71.790000000000006</v>
      </c>
      <c r="K34">
        <v>54.32</v>
      </c>
    </row>
    <row r="35" spans="1:14" x14ac:dyDescent="0.2">
      <c r="A35" s="10">
        <v>6</v>
      </c>
      <c r="B35">
        <v>8</v>
      </c>
      <c r="C35">
        <v>3.44</v>
      </c>
      <c r="D35">
        <v>116.13</v>
      </c>
      <c r="E35">
        <v>1800</v>
      </c>
      <c r="F35">
        <v>28.637599999999999</v>
      </c>
      <c r="G35">
        <v>82.87</v>
      </c>
      <c r="H35" t="str">
        <f t="shared" si="2"/>
        <v>No</v>
      </c>
      <c r="I35">
        <v>73.3</v>
      </c>
      <c r="J35">
        <v>71.489999999999995</v>
      </c>
      <c r="K35">
        <v>61.06</v>
      </c>
    </row>
    <row r="36" spans="1:14" x14ac:dyDescent="0.2">
      <c r="A36" s="10">
        <v>7</v>
      </c>
      <c r="B36">
        <v>10</v>
      </c>
      <c r="C36">
        <v>3.64</v>
      </c>
      <c r="D36">
        <v>145.83000000000001</v>
      </c>
      <c r="E36">
        <v>1800</v>
      </c>
      <c r="F36">
        <v>32.2652</v>
      </c>
      <c r="G36">
        <v>98.77</v>
      </c>
      <c r="H36" t="str">
        <f t="shared" si="2"/>
        <v>No</v>
      </c>
      <c r="I36">
        <v>70.84</v>
      </c>
      <c r="J36">
        <v>65.16</v>
      </c>
      <c r="K36">
        <v>60.4</v>
      </c>
    </row>
    <row r="37" spans="1:14" x14ac:dyDescent="0.2">
      <c r="A37" s="10">
        <v>8</v>
      </c>
      <c r="B37">
        <v>11</v>
      </c>
      <c r="C37">
        <v>3.44</v>
      </c>
      <c r="D37">
        <v>108.74</v>
      </c>
      <c r="E37">
        <v>1959</v>
      </c>
      <c r="F37">
        <v>19.420000000000002</v>
      </c>
      <c r="G37">
        <v>87.62</v>
      </c>
      <c r="H37" t="str">
        <f t="shared" si="2"/>
        <v>No</v>
      </c>
      <c r="I37">
        <v>72.12</v>
      </c>
      <c r="J37">
        <v>61.75</v>
      </c>
      <c r="K37">
        <v>52.83</v>
      </c>
    </row>
    <row r="38" spans="1:14" x14ac:dyDescent="0.2">
      <c r="A38" s="10">
        <v>9</v>
      </c>
      <c r="B38">
        <v>9</v>
      </c>
      <c r="C38">
        <v>2.56</v>
      </c>
      <c r="D38">
        <v>144.29</v>
      </c>
      <c r="E38">
        <v>1800</v>
      </c>
      <c r="F38">
        <v>28.7867</v>
      </c>
      <c r="G38">
        <v>102.76</v>
      </c>
      <c r="H38" t="str">
        <f t="shared" si="2"/>
        <v>No</v>
      </c>
      <c r="I38">
        <v>80.59</v>
      </c>
      <c r="J38">
        <v>69.09</v>
      </c>
      <c r="K38">
        <v>48</v>
      </c>
    </row>
    <row r="39" spans="1:14" x14ac:dyDescent="0.2">
      <c r="A39" s="10">
        <v>10</v>
      </c>
      <c r="B39">
        <v>9</v>
      </c>
      <c r="C39">
        <v>2.08</v>
      </c>
      <c r="D39">
        <v>102.53</v>
      </c>
      <c r="E39">
        <v>1800</v>
      </c>
      <c r="F39">
        <v>31.451899999999998</v>
      </c>
      <c r="G39">
        <v>70.28</v>
      </c>
      <c r="H39" t="str">
        <f t="shared" si="2"/>
        <v>No</v>
      </c>
      <c r="I39">
        <v>83.39</v>
      </c>
      <c r="J39">
        <v>67.63</v>
      </c>
      <c r="K39">
        <v>41.81</v>
      </c>
    </row>
    <row r="41" spans="1:14" x14ac:dyDescent="0.2">
      <c r="A41" s="12" t="s">
        <v>18</v>
      </c>
      <c r="B41" s="12">
        <f>AVERAGE(B30:B39)</f>
        <v>9.6</v>
      </c>
      <c r="C41" s="12">
        <f>AVERAGE(C30:C39)</f>
        <v>2.968</v>
      </c>
      <c r="D41" s="3">
        <f>AVERAGE(D30:D39)</f>
        <v>124.51500000000001</v>
      </c>
      <c r="E41" s="12">
        <f t="shared" ref="E41:G41" si="3">AVERAGE(E30:E39)</f>
        <v>1815.9</v>
      </c>
      <c r="F41" s="12">
        <f t="shared" si="3"/>
        <v>26.266079999999999</v>
      </c>
      <c r="G41" s="12">
        <f t="shared" si="3"/>
        <v>91.61699999999999</v>
      </c>
      <c r="H41" s="12">
        <f>(COUNTIF(H30:H39,"Yes")/10)*100</f>
        <v>0</v>
      </c>
      <c r="I41" s="12">
        <f>AVERAGE(I30:I39)</f>
        <v>76.171999999999997</v>
      </c>
      <c r="J41" s="12">
        <f t="shared" ref="J41:K41" si="4">AVERAGE(J30:J39)</f>
        <v>66.545000000000002</v>
      </c>
      <c r="K41" s="12">
        <f t="shared" si="4"/>
        <v>52.326000000000001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26.420913142994834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A4AD-A5AE-094C-A6BA-CBAE6283DA72}">
  <dimension ref="A1:R42"/>
  <sheetViews>
    <sheetView topLeftCell="A10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21</v>
      </c>
      <c r="C1" s="1">
        <v>22</v>
      </c>
      <c r="D1" s="1">
        <v>23</v>
      </c>
      <c r="E1" s="1">
        <v>24</v>
      </c>
      <c r="F1" s="1">
        <v>28</v>
      </c>
      <c r="G1" s="1">
        <v>29</v>
      </c>
      <c r="H1" s="1">
        <v>30</v>
      </c>
      <c r="I1" s="1">
        <v>31</v>
      </c>
      <c r="J1" s="1">
        <v>32</v>
      </c>
      <c r="K1" s="1">
        <v>33</v>
      </c>
      <c r="L1" s="1">
        <v>34</v>
      </c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11</v>
      </c>
      <c r="O2" s="6">
        <v>116.65</v>
      </c>
      <c r="P2" s="5">
        <v>367.28</v>
      </c>
      <c r="Q2" s="7">
        <v>0</v>
      </c>
      <c r="R2" s="5">
        <v>116.65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10.093234851498838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1.1200000000000001</v>
      </c>
      <c r="C14">
        <v>127.2</v>
      </c>
      <c r="D14">
        <v>570</v>
      </c>
      <c r="E14">
        <v>0.93500000000000005</v>
      </c>
      <c r="F14">
        <v>125.94</v>
      </c>
      <c r="G14" t="str">
        <f>IF(E14=0,"Yes","No")</f>
        <v>No</v>
      </c>
      <c r="H14">
        <v>91.71</v>
      </c>
      <c r="I14">
        <v>65.84</v>
      </c>
      <c r="J14">
        <v>32.340000000000003</v>
      </c>
    </row>
    <row r="15" spans="1:18" x14ac:dyDescent="0.2">
      <c r="A15" s="10">
        <v>2</v>
      </c>
      <c r="B15">
        <v>0.88</v>
      </c>
      <c r="C15">
        <v>124.43</v>
      </c>
      <c r="D15">
        <v>587</v>
      </c>
      <c r="E15">
        <v>0.80200000000000005</v>
      </c>
      <c r="F15">
        <v>123.44</v>
      </c>
      <c r="G15" t="str">
        <f t="shared" ref="G15:G23" si="0">IF(E15=0,"Yes","No")</f>
        <v>No</v>
      </c>
      <c r="H15">
        <v>93.74</v>
      </c>
      <c r="I15">
        <v>65.17</v>
      </c>
      <c r="J15">
        <v>24.34</v>
      </c>
    </row>
    <row r="16" spans="1:18" x14ac:dyDescent="0.2">
      <c r="A16" s="10">
        <v>3</v>
      </c>
      <c r="B16">
        <v>1.4</v>
      </c>
      <c r="C16">
        <v>129.21</v>
      </c>
      <c r="D16">
        <v>1355</v>
      </c>
      <c r="E16">
        <v>0.91949999999999998</v>
      </c>
      <c r="F16">
        <v>128.02000000000001</v>
      </c>
      <c r="G16" t="str">
        <f t="shared" si="0"/>
        <v>No</v>
      </c>
      <c r="H16">
        <v>90.28</v>
      </c>
      <c r="I16">
        <v>65</v>
      </c>
      <c r="J16">
        <v>28.57</v>
      </c>
    </row>
    <row r="17" spans="1:14" x14ac:dyDescent="0.2">
      <c r="A17" s="10">
        <v>4</v>
      </c>
      <c r="B17">
        <v>1.92</v>
      </c>
      <c r="C17">
        <v>133.88999999999999</v>
      </c>
      <c r="D17">
        <v>2485</v>
      </c>
      <c r="E17">
        <v>3.0434000000000001</v>
      </c>
      <c r="F17">
        <v>129.82</v>
      </c>
      <c r="G17" t="str">
        <f t="shared" si="0"/>
        <v>No</v>
      </c>
      <c r="H17">
        <v>87.12</v>
      </c>
      <c r="I17">
        <v>68.150000000000006</v>
      </c>
      <c r="J17">
        <v>39.82</v>
      </c>
    </row>
    <row r="18" spans="1:14" x14ac:dyDescent="0.2">
      <c r="A18" s="10">
        <v>5</v>
      </c>
      <c r="B18">
        <v>0.48</v>
      </c>
      <c r="C18">
        <v>121.25</v>
      </c>
      <c r="D18">
        <v>1999</v>
      </c>
      <c r="E18">
        <v>1.2043999999999999</v>
      </c>
      <c r="F18">
        <v>119.79</v>
      </c>
      <c r="G18" t="str">
        <f t="shared" si="0"/>
        <v>No</v>
      </c>
      <c r="H18">
        <v>96.2</v>
      </c>
      <c r="I18">
        <v>59.15</v>
      </c>
      <c r="J18">
        <v>11.99</v>
      </c>
    </row>
    <row r="19" spans="1:14" x14ac:dyDescent="0.2">
      <c r="A19" s="10">
        <v>6</v>
      </c>
      <c r="B19" s="11">
        <v>1.24</v>
      </c>
      <c r="C19">
        <v>128.05000000000001</v>
      </c>
      <c r="D19">
        <v>1908</v>
      </c>
      <c r="E19">
        <v>8.3091000000000008</v>
      </c>
      <c r="F19">
        <v>117.41</v>
      </c>
      <c r="G19" t="str">
        <f t="shared" si="0"/>
        <v>No</v>
      </c>
      <c r="H19">
        <v>91.1</v>
      </c>
      <c r="I19">
        <v>66.209999999999994</v>
      </c>
      <c r="J19">
        <v>34.18</v>
      </c>
    </row>
    <row r="20" spans="1:14" x14ac:dyDescent="0.2">
      <c r="A20" s="10">
        <v>7</v>
      </c>
      <c r="B20">
        <v>1.24</v>
      </c>
      <c r="C20">
        <v>128.05000000000001</v>
      </c>
      <c r="D20">
        <v>1889</v>
      </c>
      <c r="E20">
        <v>5.2820999999999998</v>
      </c>
      <c r="F20">
        <v>121.28</v>
      </c>
      <c r="G20" t="str">
        <f t="shared" si="0"/>
        <v>No</v>
      </c>
      <c r="H20">
        <v>91.1</v>
      </c>
      <c r="I20">
        <v>66.010000000000005</v>
      </c>
      <c r="J20">
        <v>24.39</v>
      </c>
    </row>
    <row r="21" spans="1:14" x14ac:dyDescent="0.2">
      <c r="A21" s="10">
        <v>8</v>
      </c>
      <c r="B21">
        <v>1.48</v>
      </c>
      <c r="C21">
        <v>130.75</v>
      </c>
      <c r="D21">
        <v>2044</v>
      </c>
      <c r="E21">
        <v>5.8442999999999996</v>
      </c>
      <c r="F21">
        <v>123.11</v>
      </c>
      <c r="G21" t="str">
        <f t="shared" si="0"/>
        <v>No</v>
      </c>
      <c r="H21">
        <v>89.22</v>
      </c>
      <c r="I21">
        <v>65.91</v>
      </c>
      <c r="J21">
        <v>36.68</v>
      </c>
    </row>
    <row r="22" spans="1:14" x14ac:dyDescent="0.2">
      <c r="A22" s="10">
        <v>9</v>
      </c>
      <c r="B22">
        <v>1.44</v>
      </c>
      <c r="C22">
        <v>130.04</v>
      </c>
      <c r="D22">
        <v>1800</v>
      </c>
      <c r="E22">
        <v>6.3852000000000002</v>
      </c>
      <c r="F22">
        <v>121.74</v>
      </c>
      <c r="G22" t="str">
        <f t="shared" si="0"/>
        <v>No</v>
      </c>
      <c r="H22">
        <v>89.7</v>
      </c>
      <c r="I22">
        <v>68.650000000000006</v>
      </c>
      <c r="J22">
        <v>37.42</v>
      </c>
    </row>
    <row r="23" spans="1:14" x14ac:dyDescent="0.2">
      <c r="A23" s="10">
        <v>10</v>
      </c>
      <c r="B23">
        <v>0.32</v>
      </c>
      <c r="C23">
        <v>120.05</v>
      </c>
      <c r="D23">
        <v>984</v>
      </c>
      <c r="E23">
        <v>0.94289999999999996</v>
      </c>
      <c r="F23">
        <v>118.92</v>
      </c>
      <c r="G23" t="str">
        <f t="shared" si="0"/>
        <v>No</v>
      </c>
      <c r="H23">
        <v>97.17</v>
      </c>
      <c r="I23">
        <v>63.79</v>
      </c>
      <c r="J23">
        <v>16.41</v>
      </c>
    </row>
    <row r="25" spans="1:14" x14ac:dyDescent="0.2">
      <c r="A25" s="12" t="s">
        <v>18</v>
      </c>
      <c r="B25" s="12">
        <f>AVERAGE(B14:B23)</f>
        <v>1.1520000000000001</v>
      </c>
      <c r="C25" s="3">
        <f>AVERAGE(C14:C23)</f>
        <v>127.29199999999999</v>
      </c>
      <c r="D25" s="12">
        <f>AVERAGE(D14:D23)</f>
        <v>1562.1</v>
      </c>
      <c r="E25" s="12">
        <f t="shared" ref="E25:F25" si="1">AVERAGE(E14:E23)</f>
        <v>3.3667900000000004</v>
      </c>
      <c r="F25" s="12">
        <f t="shared" si="1"/>
        <v>122.947</v>
      </c>
      <c r="G25" s="12">
        <f>(COUNTIF(G14:G23,"Yes")/10)*100</f>
        <v>0</v>
      </c>
      <c r="H25" s="12">
        <f>AVERAGE(H14:H23)</f>
        <v>91.734000000000009</v>
      </c>
      <c r="I25" s="12">
        <f>AVERAGE(I14:I23)</f>
        <v>65.387999999999991</v>
      </c>
      <c r="J25" s="12">
        <f>AVERAGE(J14:J23)</f>
        <v>28.614000000000004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3.4134116833736488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9</v>
      </c>
      <c r="C30">
        <v>2.48</v>
      </c>
      <c r="D30">
        <v>96.28</v>
      </c>
      <c r="E30">
        <v>5917</v>
      </c>
      <c r="F30">
        <v>31.8432</v>
      </c>
      <c r="G30">
        <v>65.62</v>
      </c>
      <c r="H30" t="str">
        <f>IF(F30=0,"Yes","No")</f>
        <v>No</v>
      </c>
      <c r="I30">
        <v>76.56</v>
      </c>
      <c r="J30" s="13">
        <v>66.22</v>
      </c>
      <c r="K30">
        <v>49.38</v>
      </c>
    </row>
    <row r="31" spans="1:14" x14ac:dyDescent="0.2">
      <c r="A31" s="10">
        <v>2</v>
      </c>
      <c r="B31">
        <v>12</v>
      </c>
      <c r="C31">
        <v>3.28</v>
      </c>
      <c r="D31">
        <v>138.83000000000001</v>
      </c>
      <c r="E31">
        <v>5324</v>
      </c>
      <c r="F31">
        <v>41.651200000000003</v>
      </c>
      <c r="G31">
        <v>81.010000000000005</v>
      </c>
      <c r="H31" t="str">
        <f t="shared" ref="H31:H39" si="2">IF(F31=0,"Yes","No")</f>
        <v>No</v>
      </c>
      <c r="I31">
        <v>78.92</v>
      </c>
      <c r="J31" s="13">
        <v>59.91</v>
      </c>
      <c r="K31">
        <v>47.9</v>
      </c>
    </row>
    <row r="32" spans="1:14" x14ac:dyDescent="0.2">
      <c r="A32" s="10">
        <v>3</v>
      </c>
      <c r="B32">
        <v>12</v>
      </c>
      <c r="C32">
        <v>4.4000000000000004</v>
      </c>
      <c r="D32">
        <v>154.16999999999999</v>
      </c>
      <c r="E32">
        <v>3659</v>
      </c>
      <c r="F32">
        <v>45.731900000000003</v>
      </c>
      <c r="G32">
        <v>83.66</v>
      </c>
      <c r="H32" t="str">
        <f t="shared" si="2"/>
        <v>No</v>
      </c>
      <c r="I32">
        <v>71.22</v>
      </c>
      <c r="J32">
        <v>58.32</v>
      </c>
      <c r="K32">
        <v>49.35</v>
      </c>
    </row>
    <row r="33" spans="1:14" x14ac:dyDescent="0.2">
      <c r="A33" s="10">
        <v>4</v>
      </c>
      <c r="B33">
        <v>11</v>
      </c>
      <c r="C33">
        <v>2.08</v>
      </c>
      <c r="D33">
        <v>117.11</v>
      </c>
      <c r="E33">
        <v>3659</v>
      </c>
      <c r="F33">
        <v>36.435099999999998</v>
      </c>
      <c r="G33">
        <v>74.44</v>
      </c>
      <c r="H33" t="str">
        <f t="shared" si="2"/>
        <v>No</v>
      </c>
      <c r="I33">
        <v>86.79</v>
      </c>
      <c r="J33">
        <v>63.69</v>
      </c>
      <c r="K33">
        <v>54.62</v>
      </c>
    </row>
    <row r="34" spans="1:14" x14ac:dyDescent="0.2">
      <c r="A34" s="10">
        <v>5</v>
      </c>
      <c r="B34">
        <v>8</v>
      </c>
      <c r="C34">
        <v>2.84</v>
      </c>
      <c r="D34">
        <v>86.82</v>
      </c>
      <c r="E34">
        <v>3659</v>
      </c>
      <c r="F34">
        <v>39.332799999999999</v>
      </c>
      <c r="G34">
        <v>52.67</v>
      </c>
      <c r="H34" t="str">
        <f t="shared" si="2"/>
        <v>No</v>
      </c>
      <c r="I34">
        <v>73.349999999999994</v>
      </c>
      <c r="J34">
        <v>63.25</v>
      </c>
      <c r="K34">
        <v>50.74</v>
      </c>
    </row>
    <row r="35" spans="1:14" x14ac:dyDescent="0.2">
      <c r="A35" s="10">
        <v>6</v>
      </c>
      <c r="B35">
        <v>11</v>
      </c>
      <c r="C35">
        <v>1.24</v>
      </c>
      <c r="D35">
        <v>138.47999999999999</v>
      </c>
      <c r="E35">
        <v>2171</v>
      </c>
      <c r="F35">
        <v>37.225900000000003</v>
      </c>
      <c r="G35">
        <v>86.93</v>
      </c>
      <c r="H35" t="str">
        <f t="shared" si="2"/>
        <v>No</v>
      </c>
      <c r="I35">
        <v>90.71</v>
      </c>
      <c r="J35">
        <v>62.37</v>
      </c>
      <c r="K35">
        <v>37.090000000000003</v>
      </c>
    </row>
    <row r="36" spans="1:14" x14ac:dyDescent="0.2">
      <c r="A36" s="10">
        <v>7</v>
      </c>
      <c r="B36">
        <v>13</v>
      </c>
      <c r="C36">
        <v>3.2</v>
      </c>
      <c r="D36">
        <v>132.79</v>
      </c>
      <c r="E36">
        <v>3845</v>
      </c>
      <c r="F36">
        <v>42.172899999999998</v>
      </c>
      <c r="G36">
        <v>76.790000000000006</v>
      </c>
      <c r="H36" t="str">
        <f t="shared" si="2"/>
        <v>No</v>
      </c>
      <c r="I36">
        <v>80.180000000000007</v>
      </c>
      <c r="J36">
        <v>57.93</v>
      </c>
      <c r="K36">
        <v>45.13</v>
      </c>
    </row>
    <row r="37" spans="1:14" x14ac:dyDescent="0.2">
      <c r="A37" s="10">
        <v>8</v>
      </c>
      <c r="B37">
        <v>10</v>
      </c>
      <c r="C37">
        <v>1.88</v>
      </c>
      <c r="D37">
        <v>109.37</v>
      </c>
      <c r="E37">
        <v>3015</v>
      </c>
      <c r="F37">
        <v>29.22</v>
      </c>
      <c r="G37">
        <v>77.41</v>
      </c>
      <c r="H37" t="str">
        <f t="shared" si="2"/>
        <v>No</v>
      </c>
      <c r="I37">
        <v>83.11</v>
      </c>
      <c r="J37">
        <v>66.040000000000006</v>
      </c>
      <c r="K37">
        <v>43.37</v>
      </c>
    </row>
    <row r="38" spans="1:14" x14ac:dyDescent="0.2">
      <c r="A38" s="10">
        <v>9</v>
      </c>
      <c r="B38">
        <v>10</v>
      </c>
      <c r="C38">
        <v>2.08</v>
      </c>
      <c r="D38">
        <v>98.64</v>
      </c>
      <c r="E38">
        <v>1800</v>
      </c>
      <c r="F38">
        <v>31.883400000000002</v>
      </c>
      <c r="G38">
        <v>67.19</v>
      </c>
      <c r="H38" t="str">
        <f t="shared" si="2"/>
        <v>No</v>
      </c>
      <c r="I38">
        <v>80.5</v>
      </c>
      <c r="J38">
        <v>66.94</v>
      </c>
      <c r="K38">
        <v>45.25</v>
      </c>
    </row>
    <row r="39" spans="1:14" x14ac:dyDescent="0.2">
      <c r="A39" s="10">
        <v>10</v>
      </c>
      <c r="B39">
        <v>9</v>
      </c>
      <c r="C39">
        <v>1.4</v>
      </c>
      <c r="D39">
        <v>83.73</v>
      </c>
      <c r="E39">
        <v>5463</v>
      </c>
      <c r="F39">
        <v>23.993600000000001</v>
      </c>
      <c r="G39">
        <v>63.64</v>
      </c>
      <c r="H39" t="str">
        <f t="shared" si="2"/>
        <v>No</v>
      </c>
      <c r="I39">
        <v>86.1</v>
      </c>
      <c r="J39">
        <v>67.36</v>
      </c>
      <c r="K39">
        <v>46.89</v>
      </c>
    </row>
    <row r="41" spans="1:14" x14ac:dyDescent="0.2">
      <c r="A41" s="12" t="s">
        <v>18</v>
      </c>
      <c r="B41" s="12">
        <f>AVERAGE(B30:B39)</f>
        <v>10.5</v>
      </c>
      <c r="C41" s="12">
        <f>AVERAGE(C30:C39)</f>
        <v>2.4879999999999995</v>
      </c>
      <c r="D41" s="3">
        <f>AVERAGE(D30:D39)</f>
        <v>115.622</v>
      </c>
      <c r="E41" s="12">
        <f t="shared" ref="E41:G41" si="3">AVERAGE(E30:E39)</f>
        <v>3851.2</v>
      </c>
      <c r="F41" s="12">
        <f t="shared" si="3"/>
        <v>35.949000000000005</v>
      </c>
      <c r="G41" s="12">
        <f t="shared" si="3"/>
        <v>72.936000000000007</v>
      </c>
      <c r="H41" s="12">
        <f>(COUNTIF(H30:H39,"Yes")/10)*100</f>
        <v>0</v>
      </c>
      <c r="I41" s="12">
        <f>AVERAGE(I30:I39)</f>
        <v>80.744</v>
      </c>
      <c r="J41" s="12">
        <f t="shared" ref="J41:K41" si="4">AVERAGE(J30:J39)</f>
        <v>63.20300000000001</v>
      </c>
      <c r="K41" s="12">
        <f t="shared" si="4"/>
        <v>46.972000000000001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36.918579509089959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058-D4DC-ED4F-BCFB-9E81F0B04EDC}">
  <dimension ref="A1:R42"/>
  <sheetViews>
    <sheetView zoomScale="68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21</v>
      </c>
      <c r="C1" s="1">
        <v>22</v>
      </c>
      <c r="D1" s="1">
        <v>23</v>
      </c>
      <c r="E1" s="1">
        <v>24</v>
      </c>
      <c r="F1" s="1">
        <v>28</v>
      </c>
      <c r="G1" s="1">
        <v>29</v>
      </c>
      <c r="H1" s="1">
        <v>30</v>
      </c>
      <c r="I1" s="1">
        <v>31</v>
      </c>
      <c r="J1" s="1">
        <v>32</v>
      </c>
      <c r="K1" s="1">
        <v>33</v>
      </c>
      <c r="L1" s="1">
        <v>34</v>
      </c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11</v>
      </c>
      <c r="O2" s="6">
        <v>116.65</v>
      </c>
      <c r="P2" s="5">
        <v>367.28</v>
      </c>
      <c r="Q2" s="7">
        <v>0</v>
      </c>
      <c r="R2" s="5">
        <v>116.65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2.4305922492791248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1.84</v>
      </c>
      <c r="C14">
        <v>135.02000000000001</v>
      </c>
      <c r="D14">
        <v>6862</v>
      </c>
      <c r="E14">
        <v>3.6520000000000001</v>
      </c>
      <c r="F14">
        <v>130.08000000000001</v>
      </c>
      <c r="G14" t="str">
        <f>IF(E14=0,"Yes","No")</f>
        <v>No</v>
      </c>
      <c r="H14">
        <v>86.4</v>
      </c>
      <c r="I14">
        <v>67.94</v>
      </c>
      <c r="J14">
        <v>43.23</v>
      </c>
    </row>
    <row r="15" spans="1:18" x14ac:dyDescent="0.2">
      <c r="A15" s="10">
        <v>2</v>
      </c>
      <c r="B15">
        <v>1.28</v>
      </c>
      <c r="C15">
        <v>129.05000000000001</v>
      </c>
      <c r="D15">
        <v>4355</v>
      </c>
      <c r="E15">
        <v>8.7309999999999999</v>
      </c>
      <c r="F15">
        <v>117.78</v>
      </c>
      <c r="G15" t="str">
        <f t="shared" ref="G15:G23" si="0">IF(E15=0,"Yes","No")</f>
        <v>No</v>
      </c>
      <c r="H15">
        <v>90.39</v>
      </c>
      <c r="I15">
        <v>64.650000000000006</v>
      </c>
      <c r="J15">
        <v>25.76</v>
      </c>
    </row>
    <row r="16" spans="1:18" x14ac:dyDescent="0.2">
      <c r="A16" s="10">
        <v>3</v>
      </c>
      <c r="B16">
        <v>2.6</v>
      </c>
      <c r="C16">
        <v>140.11000000000001</v>
      </c>
      <c r="D16">
        <v>3659</v>
      </c>
      <c r="E16">
        <v>16.331299999999999</v>
      </c>
      <c r="F16">
        <v>117.23</v>
      </c>
      <c r="G16" t="str">
        <f t="shared" si="0"/>
        <v>No</v>
      </c>
      <c r="H16">
        <v>83.26</v>
      </c>
      <c r="I16">
        <v>66.05</v>
      </c>
      <c r="J16">
        <v>37.380000000000003</v>
      </c>
    </row>
    <row r="17" spans="1:14" x14ac:dyDescent="0.2">
      <c r="A17" s="10">
        <v>4</v>
      </c>
      <c r="B17">
        <v>3.44</v>
      </c>
      <c r="C17">
        <v>146.86000000000001</v>
      </c>
      <c r="D17">
        <v>2415</v>
      </c>
      <c r="E17">
        <v>20.0976</v>
      </c>
      <c r="F17">
        <v>117.34</v>
      </c>
      <c r="G17" t="str">
        <f t="shared" si="0"/>
        <v>No</v>
      </c>
      <c r="H17">
        <v>79.430000000000007</v>
      </c>
      <c r="I17">
        <v>64.72</v>
      </c>
      <c r="J17">
        <v>46.65</v>
      </c>
    </row>
    <row r="18" spans="1:14" x14ac:dyDescent="0.2">
      <c r="A18" s="10">
        <v>5</v>
      </c>
      <c r="B18">
        <v>2.4</v>
      </c>
      <c r="C18">
        <v>137.38999999999999</v>
      </c>
      <c r="D18">
        <v>4903</v>
      </c>
      <c r="E18">
        <v>14.3226</v>
      </c>
      <c r="F18">
        <v>117.67</v>
      </c>
      <c r="G18" t="str">
        <f t="shared" si="0"/>
        <v>No</v>
      </c>
      <c r="H18">
        <v>84.94</v>
      </c>
      <c r="I18">
        <v>67</v>
      </c>
      <c r="J18">
        <v>34.19</v>
      </c>
    </row>
    <row r="19" spans="1:14" x14ac:dyDescent="0.2">
      <c r="A19" s="10">
        <v>6</v>
      </c>
      <c r="B19" s="11">
        <v>1.72</v>
      </c>
      <c r="C19">
        <v>131.38</v>
      </c>
      <c r="D19">
        <v>3659</v>
      </c>
      <c r="E19">
        <v>11.213900000000001</v>
      </c>
      <c r="F19">
        <v>116.65</v>
      </c>
      <c r="G19" t="str">
        <f t="shared" si="0"/>
        <v>No</v>
      </c>
      <c r="H19">
        <v>88.79</v>
      </c>
      <c r="I19">
        <v>64.36</v>
      </c>
      <c r="J19">
        <v>17.87</v>
      </c>
    </row>
    <row r="20" spans="1:14" x14ac:dyDescent="0.2">
      <c r="A20" s="10">
        <v>7</v>
      </c>
      <c r="B20">
        <v>2.92</v>
      </c>
      <c r="C20">
        <v>141.79</v>
      </c>
      <c r="D20">
        <v>3659</v>
      </c>
      <c r="E20">
        <v>17.6693</v>
      </c>
      <c r="F20">
        <v>116.74</v>
      </c>
      <c r="G20" t="str">
        <f t="shared" si="0"/>
        <v>No</v>
      </c>
      <c r="H20">
        <v>82.27</v>
      </c>
      <c r="I20">
        <v>64.19</v>
      </c>
      <c r="J20">
        <v>26.57</v>
      </c>
    </row>
    <row r="21" spans="1:14" x14ac:dyDescent="0.2">
      <c r="A21" s="10">
        <v>8</v>
      </c>
      <c r="B21">
        <v>2.48</v>
      </c>
      <c r="C21">
        <v>138.47999999999999</v>
      </c>
      <c r="D21">
        <v>2577</v>
      </c>
      <c r="E21">
        <v>15.449</v>
      </c>
      <c r="F21">
        <v>117.09</v>
      </c>
      <c r="G21" t="str">
        <f t="shared" si="0"/>
        <v>No</v>
      </c>
      <c r="H21">
        <v>84.23</v>
      </c>
      <c r="I21">
        <v>64.849999999999994</v>
      </c>
      <c r="J21">
        <v>30.13</v>
      </c>
    </row>
    <row r="22" spans="1:14" x14ac:dyDescent="0.2">
      <c r="A22" s="10">
        <v>9</v>
      </c>
      <c r="B22">
        <v>0.8</v>
      </c>
      <c r="C22">
        <v>124.7</v>
      </c>
      <c r="D22">
        <v>3841</v>
      </c>
      <c r="E22">
        <v>5.9104999999999999</v>
      </c>
      <c r="F22">
        <v>117.33</v>
      </c>
      <c r="G22" t="str">
        <f t="shared" si="0"/>
        <v>No</v>
      </c>
      <c r="H22">
        <v>93.55</v>
      </c>
      <c r="I22">
        <v>63.15</v>
      </c>
      <c r="J22">
        <v>24.36</v>
      </c>
    </row>
    <row r="23" spans="1:14" x14ac:dyDescent="0.2">
      <c r="A23" s="10">
        <v>10</v>
      </c>
      <c r="B23">
        <v>1.64</v>
      </c>
      <c r="C23">
        <v>132.19999999999999</v>
      </c>
      <c r="D23">
        <v>2654</v>
      </c>
      <c r="E23">
        <v>11.7638</v>
      </c>
      <c r="F23">
        <v>116.65</v>
      </c>
      <c r="G23" t="str">
        <f t="shared" si="0"/>
        <v>No</v>
      </c>
      <c r="H23">
        <v>88.24</v>
      </c>
      <c r="I23">
        <v>65.89</v>
      </c>
      <c r="J23">
        <v>24.93</v>
      </c>
    </row>
    <row r="25" spans="1:14" x14ac:dyDescent="0.2">
      <c r="A25" s="12" t="s">
        <v>18</v>
      </c>
      <c r="B25" s="12">
        <f>AVERAGE(B14:B23)</f>
        <v>2.1120000000000005</v>
      </c>
      <c r="C25" s="3">
        <f>AVERAGE(C14:C23)</f>
        <v>135.69800000000001</v>
      </c>
      <c r="D25" s="12">
        <f>AVERAGE(D14:D23)</f>
        <v>3858.4</v>
      </c>
      <c r="E25" s="12">
        <f t="shared" ref="E25:F25" si="1">AVERAGE(E14:E23)</f>
        <v>12.514099999999999</v>
      </c>
      <c r="F25" s="12">
        <f t="shared" si="1"/>
        <v>118.45600000000002</v>
      </c>
      <c r="G25" s="12">
        <f>(COUNTIF(G14:G23,"Yes")/10)*100</f>
        <v>0</v>
      </c>
      <c r="H25" s="12">
        <f>AVERAGE(H14:H23)</f>
        <v>86.15</v>
      </c>
      <c r="I25" s="12">
        <f>AVERAGE(I14:I23)</f>
        <v>65.28</v>
      </c>
      <c r="J25" s="12">
        <f>AVERAGE(J14:J23)</f>
        <v>31.107000000000006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12.706156317705485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13</v>
      </c>
      <c r="C30">
        <v>0.6</v>
      </c>
      <c r="D30">
        <v>105.84</v>
      </c>
      <c r="E30">
        <v>5656</v>
      </c>
      <c r="F30">
        <v>36.813200000000002</v>
      </c>
      <c r="G30">
        <v>66.88</v>
      </c>
      <c r="H30" t="str">
        <f>IF(F30=0,"Yes","No")</f>
        <v>No</v>
      </c>
      <c r="I30">
        <v>94.33</v>
      </c>
      <c r="J30" s="13">
        <v>59.82</v>
      </c>
      <c r="K30">
        <v>11.27</v>
      </c>
    </row>
    <row r="31" spans="1:14" x14ac:dyDescent="0.2">
      <c r="A31" s="10">
        <v>2</v>
      </c>
      <c r="B31">
        <v>9</v>
      </c>
      <c r="C31">
        <v>2.6</v>
      </c>
      <c r="D31">
        <v>126.9</v>
      </c>
      <c r="E31">
        <v>5446</v>
      </c>
      <c r="F31">
        <v>34.525199999999998</v>
      </c>
      <c r="G31">
        <v>83.09</v>
      </c>
      <c r="H31" t="str">
        <f t="shared" ref="H31:H39" si="2">IF(F31=0,"Yes","No")</f>
        <v>No</v>
      </c>
      <c r="I31">
        <v>77.38</v>
      </c>
      <c r="J31" s="13">
        <v>65.69</v>
      </c>
      <c r="K31">
        <v>54.23</v>
      </c>
    </row>
    <row r="32" spans="1:14" x14ac:dyDescent="0.2">
      <c r="A32" s="10">
        <v>3</v>
      </c>
      <c r="B32">
        <v>10</v>
      </c>
      <c r="C32">
        <v>5.76</v>
      </c>
      <c r="D32">
        <v>180.38</v>
      </c>
      <c r="E32">
        <v>3659</v>
      </c>
      <c r="F32">
        <v>49.288600000000002</v>
      </c>
      <c r="G32">
        <v>91.47</v>
      </c>
      <c r="H32" t="str">
        <f t="shared" si="2"/>
        <v>No</v>
      </c>
      <c r="I32">
        <v>62.7</v>
      </c>
      <c r="J32">
        <v>54.85</v>
      </c>
      <c r="K32">
        <v>59.92</v>
      </c>
    </row>
    <row r="33" spans="1:14" x14ac:dyDescent="0.2">
      <c r="A33" s="10">
        <v>4</v>
      </c>
      <c r="B33">
        <v>12</v>
      </c>
      <c r="C33">
        <v>2.52</v>
      </c>
      <c r="D33">
        <v>125.36</v>
      </c>
      <c r="E33">
        <v>3658</v>
      </c>
      <c r="F33">
        <v>41.606200000000001</v>
      </c>
      <c r="G33">
        <v>73.2</v>
      </c>
      <c r="H33" t="str">
        <f t="shared" si="2"/>
        <v>No</v>
      </c>
      <c r="I33">
        <v>85.67</v>
      </c>
      <c r="J33">
        <v>57.76</v>
      </c>
      <c r="K33">
        <v>41.68</v>
      </c>
    </row>
    <row r="34" spans="1:14" x14ac:dyDescent="0.2">
      <c r="A34" s="10">
        <v>5</v>
      </c>
      <c r="B34">
        <v>14</v>
      </c>
      <c r="C34">
        <v>2.72</v>
      </c>
      <c r="D34">
        <v>154.77000000000001</v>
      </c>
      <c r="E34">
        <v>3658</v>
      </c>
      <c r="F34">
        <v>40.449399999999997</v>
      </c>
      <c r="G34">
        <v>92.16</v>
      </c>
      <c r="H34" t="str">
        <f t="shared" si="2"/>
        <v>No</v>
      </c>
      <c r="I34">
        <v>86.48</v>
      </c>
      <c r="J34">
        <v>58.07</v>
      </c>
      <c r="K34">
        <v>46.26</v>
      </c>
    </row>
    <row r="35" spans="1:14" x14ac:dyDescent="0.2">
      <c r="A35" s="10">
        <v>6</v>
      </c>
      <c r="B35">
        <v>12</v>
      </c>
      <c r="C35">
        <v>0.32</v>
      </c>
      <c r="D35">
        <v>144.47999999999999</v>
      </c>
      <c r="E35">
        <v>3659</v>
      </c>
      <c r="F35">
        <v>39.487000000000002</v>
      </c>
      <c r="G35">
        <v>87.43</v>
      </c>
      <c r="H35" t="str">
        <f t="shared" si="2"/>
        <v>No</v>
      </c>
      <c r="I35">
        <v>98.17</v>
      </c>
      <c r="J35">
        <v>59.91</v>
      </c>
      <c r="K35">
        <v>3.72</v>
      </c>
    </row>
    <row r="36" spans="1:14" x14ac:dyDescent="0.2">
      <c r="A36" s="10">
        <v>7</v>
      </c>
      <c r="B36">
        <v>10</v>
      </c>
      <c r="C36">
        <v>1.84</v>
      </c>
      <c r="D36">
        <v>106.22</v>
      </c>
      <c r="E36">
        <v>1800</v>
      </c>
      <c r="F36">
        <v>27.957599999999999</v>
      </c>
      <c r="G36">
        <v>76.52</v>
      </c>
      <c r="H36" t="str">
        <f t="shared" si="2"/>
        <v>No</v>
      </c>
      <c r="I36">
        <v>83.98</v>
      </c>
      <c r="J36">
        <v>65.239999999999995</v>
      </c>
      <c r="K36">
        <v>40.520000000000003</v>
      </c>
    </row>
    <row r="37" spans="1:14" x14ac:dyDescent="0.2">
      <c r="A37" s="10">
        <v>8</v>
      </c>
      <c r="B37">
        <v>14</v>
      </c>
      <c r="C37">
        <v>1.96</v>
      </c>
      <c r="D37">
        <v>145.59</v>
      </c>
      <c r="E37">
        <v>5570</v>
      </c>
      <c r="F37">
        <v>31.587199999999999</v>
      </c>
      <c r="G37">
        <v>99.6</v>
      </c>
      <c r="H37" t="str">
        <f t="shared" si="2"/>
        <v>No</v>
      </c>
      <c r="I37">
        <v>84.62</v>
      </c>
      <c r="J37">
        <v>56.97</v>
      </c>
      <c r="K37">
        <v>38.42</v>
      </c>
    </row>
    <row r="38" spans="1:14" x14ac:dyDescent="0.2">
      <c r="A38" s="10">
        <v>9</v>
      </c>
      <c r="B38">
        <v>12</v>
      </c>
      <c r="C38">
        <v>0.36</v>
      </c>
      <c r="D38">
        <v>122.48</v>
      </c>
      <c r="E38">
        <v>3077</v>
      </c>
      <c r="F38">
        <v>39.621699999999997</v>
      </c>
      <c r="G38">
        <v>73.95</v>
      </c>
      <c r="H38" t="str">
        <f t="shared" si="2"/>
        <v>No</v>
      </c>
      <c r="I38">
        <v>97.98</v>
      </c>
      <c r="J38">
        <v>58.31</v>
      </c>
      <c r="K38">
        <v>7.54</v>
      </c>
    </row>
    <row r="39" spans="1:14" x14ac:dyDescent="0.2">
      <c r="A39" s="10">
        <v>10</v>
      </c>
      <c r="B39">
        <v>13</v>
      </c>
      <c r="C39">
        <v>3.04</v>
      </c>
      <c r="D39">
        <v>112.76</v>
      </c>
      <c r="E39">
        <v>3415</v>
      </c>
      <c r="F39">
        <v>42.097200000000001</v>
      </c>
      <c r="G39">
        <v>65.290000000000006</v>
      </c>
      <c r="H39" t="str">
        <f t="shared" si="2"/>
        <v>No</v>
      </c>
      <c r="I39">
        <v>80.7</v>
      </c>
      <c r="J39">
        <v>58.85</v>
      </c>
      <c r="K39">
        <v>47.82</v>
      </c>
    </row>
    <row r="41" spans="1:14" x14ac:dyDescent="0.2">
      <c r="A41" s="12" t="s">
        <v>18</v>
      </c>
      <c r="B41" s="12">
        <f>AVERAGE(B30:B39)</f>
        <v>11.9</v>
      </c>
      <c r="C41" s="12">
        <f>AVERAGE(C30:C39)</f>
        <v>2.1720000000000002</v>
      </c>
      <c r="D41" s="3">
        <f>AVERAGE(D30:D39)</f>
        <v>132.47800000000001</v>
      </c>
      <c r="E41" s="12">
        <f t="shared" ref="E41:G41" si="3">AVERAGE(E30:E39)</f>
        <v>3959.8</v>
      </c>
      <c r="F41" s="12">
        <f t="shared" si="3"/>
        <v>38.343329999999995</v>
      </c>
      <c r="G41" s="12">
        <f t="shared" si="3"/>
        <v>80.959000000000003</v>
      </c>
      <c r="H41" s="12">
        <f>(COUNTIF(H30:H39,"Yes")/10)*100</f>
        <v>0</v>
      </c>
      <c r="I41" s="12">
        <f>AVERAGE(I30:I39)</f>
        <v>85.201000000000008</v>
      </c>
      <c r="J41" s="12">
        <f t="shared" ref="J41:K41" si="4">AVERAGE(J30:J39)</f>
        <v>59.547000000000011</v>
      </c>
      <c r="K41" s="12">
        <f t="shared" si="4"/>
        <v>35.137999999999998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38.888721146152569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8613-CD68-8A4C-AA1F-CCDA3E636288}">
  <dimension ref="A1:R42"/>
  <sheetViews>
    <sheetView topLeftCell="A9" zoomScale="90" workbookViewId="0">
      <selection activeCell="C19" sqref="C19"/>
    </sheetView>
  </sheetViews>
  <sheetFormatPr baseColWidth="10" defaultRowHeight="16" x14ac:dyDescent="0.2"/>
  <sheetData>
    <row r="1" spans="1:18" x14ac:dyDescent="0.2">
      <c r="A1" s="1" t="s">
        <v>0</v>
      </c>
      <c r="B1" s="1">
        <v>21</v>
      </c>
      <c r="C1" s="1">
        <v>22</v>
      </c>
      <c r="D1" s="1">
        <v>23</v>
      </c>
      <c r="E1" s="1">
        <v>24</v>
      </c>
      <c r="F1" s="1">
        <v>28</v>
      </c>
      <c r="G1" s="1">
        <v>29</v>
      </c>
      <c r="H1" s="1">
        <v>30</v>
      </c>
      <c r="I1" s="1">
        <v>31</v>
      </c>
      <c r="J1" s="1">
        <v>32</v>
      </c>
      <c r="K1" s="1">
        <v>33</v>
      </c>
      <c r="L1" s="1">
        <v>34</v>
      </c>
      <c r="N1" s="2" t="s">
        <v>1</v>
      </c>
      <c r="O1" s="3" t="s">
        <v>2</v>
      </c>
      <c r="P1" s="2" t="s">
        <v>3</v>
      </c>
      <c r="Q1" s="2" t="s">
        <v>4</v>
      </c>
      <c r="R1" s="2" t="s">
        <v>5</v>
      </c>
    </row>
    <row r="2" spans="1:18" x14ac:dyDescent="0.2">
      <c r="A2" s="4" t="s">
        <v>6</v>
      </c>
      <c r="N2" s="5">
        <v>11</v>
      </c>
      <c r="O2" s="6">
        <v>116.65</v>
      </c>
      <c r="P2" s="5">
        <v>367.28</v>
      </c>
      <c r="Q2" s="7">
        <v>0</v>
      </c>
      <c r="R2" s="5">
        <v>116.65</v>
      </c>
    </row>
    <row r="3" spans="1:18" x14ac:dyDescent="0.2">
      <c r="A3" s="4" t="s">
        <v>7</v>
      </c>
    </row>
    <row r="6" spans="1:18" x14ac:dyDescent="0.2">
      <c r="O6" s="3" t="s">
        <v>8</v>
      </c>
    </row>
    <row r="7" spans="1:18" x14ac:dyDescent="0.2">
      <c r="O7" s="3">
        <f>((ABS(C25-D41))/D41)*100</f>
        <v>8.3136804831452</v>
      </c>
    </row>
    <row r="13" spans="1:18" x14ac:dyDescent="0.2">
      <c r="A13" s="8" t="s">
        <v>9</v>
      </c>
      <c r="B13" s="9" t="s">
        <v>10</v>
      </c>
      <c r="C13" s="9" t="s">
        <v>2</v>
      </c>
      <c r="D13" s="9" t="s">
        <v>11</v>
      </c>
      <c r="E13" s="9" t="s">
        <v>4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9"/>
      <c r="M13" s="9"/>
      <c r="N13" s="9"/>
    </row>
    <row r="14" spans="1:18" x14ac:dyDescent="0.2">
      <c r="A14" s="10">
        <v>1</v>
      </c>
      <c r="B14">
        <v>1.1599999999999999</v>
      </c>
      <c r="C14">
        <v>130.04</v>
      </c>
      <c r="D14">
        <v>2638</v>
      </c>
      <c r="E14">
        <v>3.2387000000000001</v>
      </c>
      <c r="F14">
        <v>125.83</v>
      </c>
      <c r="G14" t="str">
        <f>IF(E14=0,"Yes","No")</f>
        <v>No</v>
      </c>
      <c r="H14">
        <v>89.7</v>
      </c>
      <c r="I14">
        <v>66.239999999999995</v>
      </c>
      <c r="J14">
        <v>23.17</v>
      </c>
    </row>
    <row r="15" spans="1:18" x14ac:dyDescent="0.2">
      <c r="A15" s="10">
        <v>2</v>
      </c>
      <c r="B15">
        <v>1.2</v>
      </c>
      <c r="C15">
        <v>130.38</v>
      </c>
      <c r="D15">
        <v>1739</v>
      </c>
      <c r="E15">
        <v>0.92989999999999995</v>
      </c>
      <c r="F15">
        <v>129.16999999999999</v>
      </c>
      <c r="G15" t="str">
        <f t="shared" ref="G15:G23" si="0">IF(E15=0,"Yes","No")</f>
        <v>No</v>
      </c>
      <c r="H15">
        <v>89.47</v>
      </c>
      <c r="I15">
        <v>63.75</v>
      </c>
      <c r="J15">
        <v>32.770000000000003</v>
      </c>
    </row>
    <row r="16" spans="1:18" x14ac:dyDescent="0.2">
      <c r="A16" s="10">
        <v>3</v>
      </c>
      <c r="B16">
        <v>0.92</v>
      </c>
      <c r="C16">
        <v>127.66</v>
      </c>
      <c r="D16">
        <v>345</v>
      </c>
      <c r="E16">
        <v>0.97619999999999996</v>
      </c>
      <c r="F16">
        <v>126.42</v>
      </c>
      <c r="G16" t="str">
        <f t="shared" si="0"/>
        <v>No</v>
      </c>
      <c r="H16">
        <v>91.37</v>
      </c>
      <c r="I16">
        <v>64.52</v>
      </c>
      <c r="J16">
        <v>24.58</v>
      </c>
    </row>
    <row r="17" spans="1:14" x14ac:dyDescent="0.2">
      <c r="A17" s="10">
        <v>4</v>
      </c>
      <c r="B17">
        <v>0.52</v>
      </c>
      <c r="C17">
        <v>122.67</v>
      </c>
      <c r="D17">
        <v>180.13</v>
      </c>
      <c r="E17">
        <v>0.99539999999999995</v>
      </c>
      <c r="F17">
        <v>121.45</v>
      </c>
      <c r="G17" t="str">
        <f t="shared" si="0"/>
        <v>No</v>
      </c>
      <c r="H17">
        <v>95.09</v>
      </c>
      <c r="I17">
        <v>59.49</v>
      </c>
      <c r="J17">
        <v>18.82</v>
      </c>
    </row>
    <row r="18" spans="1:14" x14ac:dyDescent="0.2">
      <c r="A18" s="10">
        <v>5</v>
      </c>
      <c r="B18">
        <v>1.24</v>
      </c>
      <c r="C18">
        <v>131.05000000000001</v>
      </c>
      <c r="D18">
        <v>554</v>
      </c>
      <c r="E18">
        <v>0.97689999999999999</v>
      </c>
      <c r="F18">
        <v>129.77000000000001</v>
      </c>
      <c r="G18" t="str">
        <f t="shared" si="0"/>
        <v>No</v>
      </c>
      <c r="H18">
        <v>89.01</v>
      </c>
      <c r="I18">
        <v>65.91</v>
      </c>
      <c r="J18">
        <v>30.5</v>
      </c>
    </row>
    <row r="19" spans="1:14" x14ac:dyDescent="0.2">
      <c r="A19" s="10">
        <v>6</v>
      </c>
      <c r="B19" s="11">
        <v>1.88</v>
      </c>
      <c r="C19">
        <v>137.87</v>
      </c>
      <c r="D19">
        <v>1216</v>
      </c>
      <c r="E19">
        <v>0.85870000000000002</v>
      </c>
      <c r="F19">
        <v>136.69</v>
      </c>
      <c r="G19" t="str">
        <f t="shared" si="0"/>
        <v>No</v>
      </c>
      <c r="H19">
        <v>84.61</v>
      </c>
      <c r="I19">
        <v>69.14</v>
      </c>
      <c r="J19">
        <v>41.84</v>
      </c>
    </row>
    <row r="20" spans="1:14" x14ac:dyDescent="0.2">
      <c r="A20" s="10">
        <v>7</v>
      </c>
      <c r="B20">
        <v>1.84</v>
      </c>
      <c r="C20">
        <v>137.37</v>
      </c>
      <c r="D20">
        <v>2120</v>
      </c>
      <c r="E20">
        <v>1.3115000000000001</v>
      </c>
      <c r="F20">
        <v>135.57</v>
      </c>
      <c r="G20" t="str">
        <f t="shared" si="0"/>
        <v>No</v>
      </c>
      <c r="H20">
        <v>84.92</v>
      </c>
      <c r="I20">
        <v>65.52</v>
      </c>
      <c r="J20">
        <v>38.229999999999997</v>
      </c>
    </row>
    <row r="21" spans="1:14" x14ac:dyDescent="0.2">
      <c r="A21" s="10">
        <v>8</v>
      </c>
      <c r="B21">
        <v>1.72</v>
      </c>
      <c r="C21">
        <v>136.07</v>
      </c>
      <c r="D21">
        <v>1800</v>
      </c>
      <c r="E21">
        <v>3.5693999999999999</v>
      </c>
      <c r="F21">
        <v>131.22</v>
      </c>
      <c r="G21" t="str">
        <f t="shared" si="0"/>
        <v>No</v>
      </c>
      <c r="H21">
        <v>85.73</v>
      </c>
      <c r="I21">
        <v>63.49</v>
      </c>
      <c r="J21">
        <v>36.49</v>
      </c>
    </row>
    <row r="22" spans="1:14" x14ac:dyDescent="0.2">
      <c r="A22" s="10">
        <v>9</v>
      </c>
      <c r="B22">
        <v>1.28</v>
      </c>
      <c r="C22">
        <v>130.74</v>
      </c>
      <c r="D22">
        <v>1800</v>
      </c>
      <c r="E22">
        <v>1.2040999999999999</v>
      </c>
      <c r="F22">
        <v>129.16</v>
      </c>
      <c r="G22" t="str">
        <f t="shared" si="0"/>
        <v>No</v>
      </c>
      <c r="H22">
        <v>89.22</v>
      </c>
      <c r="I22">
        <v>65.900000000000006</v>
      </c>
      <c r="J22">
        <v>32.89</v>
      </c>
    </row>
    <row r="23" spans="1:14" x14ac:dyDescent="0.2">
      <c r="A23" s="10">
        <v>10</v>
      </c>
      <c r="B23">
        <v>0.84</v>
      </c>
      <c r="C23">
        <v>126.32</v>
      </c>
      <c r="D23">
        <v>2666</v>
      </c>
      <c r="E23">
        <v>1.4137999999999999</v>
      </c>
      <c r="F23">
        <v>124.54</v>
      </c>
      <c r="G23" t="str">
        <f t="shared" si="0"/>
        <v>No</v>
      </c>
      <c r="H23">
        <v>92.34</v>
      </c>
      <c r="I23">
        <v>64.400000000000006</v>
      </c>
      <c r="J23">
        <v>20.85</v>
      </c>
    </row>
    <row r="25" spans="1:14" x14ac:dyDescent="0.2">
      <c r="A25" s="12" t="s">
        <v>18</v>
      </c>
      <c r="B25" s="12">
        <f>AVERAGE(B14:B23)</f>
        <v>1.26</v>
      </c>
      <c r="C25" s="3">
        <f>AVERAGE(C14:C23)</f>
        <v>131.017</v>
      </c>
      <c r="D25" s="12">
        <f>AVERAGE(D14:D23)</f>
        <v>1505.8130000000001</v>
      </c>
      <c r="E25" s="12">
        <f t="shared" ref="E25:F25" si="1">AVERAGE(E14:E23)</f>
        <v>1.5474600000000001</v>
      </c>
      <c r="F25" s="12">
        <f t="shared" si="1"/>
        <v>128.982</v>
      </c>
      <c r="G25" s="12">
        <f>(COUNTIF(G14:G23,"Yes")/10)*100</f>
        <v>0</v>
      </c>
      <c r="H25" s="12">
        <f>AVERAGE(H14:H23)</f>
        <v>89.146000000000001</v>
      </c>
      <c r="I25" s="12">
        <f>AVERAGE(I14:I23)</f>
        <v>64.835999999999984</v>
      </c>
      <c r="J25" s="12">
        <f>AVERAGE(J14:J23)</f>
        <v>30.014000000000003</v>
      </c>
      <c r="K25" s="12" t="e">
        <f>AVERAGE(K14:K23)</f>
        <v>#DIV/0!</v>
      </c>
      <c r="L25" s="12"/>
      <c r="M25" s="12"/>
      <c r="N25" s="12"/>
    </row>
    <row r="26" spans="1:14" x14ac:dyDescent="0.2">
      <c r="E26" s="3">
        <f>((C25-F25)/C25)*100</f>
        <v>1.5532335498446741</v>
      </c>
    </row>
    <row r="29" spans="1:14" x14ac:dyDescent="0.2">
      <c r="A29" s="8" t="s">
        <v>19</v>
      </c>
      <c r="B29" s="9" t="s">
        <v>20</v>
      </c>
      <c r="C29" s="9" t="s">
        <v>21</v>
      </c>
      <c r="D29" s="9" t="s">
        <v>2</v>
      </c>
      <c r="E29" s="9" t="s">
        <v>11</v>
      </c>
      <c r="F29" s="9" t="s">
        <v>4</v>
      </c>
      <c r="G29" s="9" t="s">
        <v>12</v>
      </c>
      <c r="H29" s="9" t="s">
        <v>13</v>
      </c>
      <c r="I29" s="9" t="s">
        <v>14</v>
      </c>
      <c r="J29" s="9" t="s">
        <v>15</v>
      </c>
      <c r="K29" s="9" t="s">
        <v>16</v>
      </c>
      <c r="L29" s="9" t="s">
        <v>22</v>
      </c>
      <c r="M29" s="9"/>
      <c r="N29" s="9"/>
    </row>
    <row r="30" spans="1:14" x14ac:dyDescent="0.2">
      <c r="A30" s="10">
        <v>1</v>
      </c>
      <c r="B30">
        <v>15</v>
      </c>
      <c r="C30">
        <v>1.1200000000000001</v>
      </c>
      <c r="D30">
        <v>176.74</v>
      </c>
      <c r="E30">
        <v>1965</v>
      </c>
      <c r="F30">
        <v>33.791499999999999</v>
      </c>
      <c r="G30">
        <v>117.02</v>
      </c>
      <c r="H30" t="str">
        <f>IF(F30=0,"Yes","No")</f>
        <v>No</v>
      </c>
      <c r="I30">
        <v>90.81</v>
      </c>
      <c r="J30" s="13">
        <v>55.77</v>
      </c>
      <c r="K30">
        <v>27.97</v>
      </c>
    </row>
    <row r="31" spans="1:14" x14ac:dyDescent="0.2">
      <c r="A31" s="10">
        <v>2</v>
      </c>
      <c r="B31">
        <v>11</v>
      </c>
      <c r="C31">
        <v>1</v>
      </c>
      <c r="D31">
        <v>108.72</v>
      </c>
      <c r="E31">
        <v>2117</v>
      </c>
      <c r="F31">
        <v>34.235900000000001</v>
      </c>
      <c r="G31">
        <v>71.5</v>
      </c>
      <c r="H31" t="str">
        <f t="shared" ref="H31:H39" si="2">IF(F31=0,"Yes","No")</f>
        <v>No</v>
      </c>
      <c r="I31">
        <v>88.93</v>
      </c>
      <c r="J31" s="13">
        <v>61.76</v>
      </c>
      <c r="K31">
        <v>23.42</v>
      </c>
    </row>
    <row r="32" spans="1:14" x14ac:dyDescent="0.2">
      <c r="A32" s="10">
        <v>3</v>
      </c>
      <c r="B32">
        <v>11</v>
      </c>
      <c r="C32">
        <v>0.92</v>
      </c>
      <c r="D32">
        <v>136.34</v>
      </c>
      <c r="E32">
        <v>1948</v>
      </c>
      <c r="F32">
        <v>34.145499999999998</v>
      </c>
      <c r="G32">
        <v>89.78</v>
      </c>
      <c r="H32" t="str">
        <f t="shared" si="2"/>
        <v>No</v>
      </c>
      <c r="I32">
        <v>92.62</v>
      </c>
      <c r="J32">
        <v>62.76</v>
      </c>
      <c r="K32">
        <v>23.03</v>
      </c>
    </row>
    <row r="33" spans="1:14" x14ac:dyDescent="0.2">
      <c r="A33" s="10">
        <v>4</v>
      </c>
      <c r="B33">
        <v>12</v>
      </c>
      <c r="C33">
        <v>1.6</v>
      </c>
      <c r="D33">
        <v>131.86000000000001</v>
      </c>
      <c r="E33">
        <v>2532</v>
      </c>
      <c r="F33">
        <v>25.421900000000001</v>
      </c>
      <c r="G33">
        <v>98.34</v>
      </c>
      <c r="H33" t="str">
        <f t="shared" si="2"/>
        <v>No</v>
      </c>
      <c r="I33">
        <v>83</v>
      </c>
      <c r="J33">
        <v>57.11</v>
      </c>
      <c r="K33">
        <v>33.74</v>
      </c>
    </row>
    <row r="34" spans="1:14" x14ac:dyDescent="0.2">
      <c r="A34" s="10">
        <v>5</v>
      </c>
      <c r="B34">
        <v>14</v>
      </c>
      <c r="C34">
        <v>1.44</v>
      </c>
      <c r="D34">
        <v>166.3</v>
      </c>
      <c r="E34">
        <v>1800</v>
      </c>
      <c r="F34">
        <v>32.104599999999998</v>
      </c>
      <c r="G34">
        <v>112.9</v>
      </c>
      <c r="H34" t="str">
        <f t="shared" si="2"/>
        <v>No</v>
      </c>
      <c r="I34">
        <v>86.97</v>
      </c>
      <c r="J34">
        <v>58.39</v>
      </c>
      <c r="K34">
        <v>36.04</v>
      </c>
    </row>
    <row r="35" spans="1:14" x14ac:dyDescent="0.2">
      <c r="A35" s="10">
        <v>6</v>
      </c>
      <c r="B35">
        <v>12</v>
      </c>
      <c r="C35">
        <v>1.08</v>
      </c>
      <c r="D35">
        <v>142.69</v>
      </c>
      <c r="E35">
        <v>1800</v>
      </c>
      <c r="F35">
        <v>28.254100000000001</v>
      </c>
      <c r="G35">
        <v>102.37</v>
      </c>
      <c r="H35" t="str">
        <f t="shared" si="2"/>
        <v>No</v>
      </c>
      <c r="I35">
        <v>94.11</v>
      </c>
      <c r="J35">
        <v>63.8</v>
      </c>
      <c r="K35">
        <v>24.06</v>
      </c>
    </row>
    <row r="36" spans="1:14" x14ac:dyDescent="0.2">
      <c r="A36" s="10">
        <v>7</v>
      </c>
      <c r="B36">
        <v>25</v>
      </c>
      <c r="C36">
        <v>3.12</v>
      </c>
      <c r="D36">
        <v>169.99</v>
      </c>
      <c r="E36">
        <v>1849</v>
      </c>
      <c r="F36">
        <v>40.0242</v>
      </c>
      <c r="G36">
        <v>101.95</v>
      </c>
      <c r="H36" t="str">
        <f t="shared" si="2"/>
        <v>No</v>
      </c>
      <c r="I36">
        <v>73.239999999999995</v>
      </c>
      <c r="J36">
        <v>59.46</v>
      </c>
      <c r="K36">
        <v>37.67</v>
      </c>
    </row>
    <row r="37" spans="1:14" x14ac:dyDescent="0.2">
      <c r="A37" s="10">
        <v>8</v>
      </c>
      <c r="B37">
        <v>10</v>
      </c>
      <c r="C37">
        <v>2</v>
      </c>
      <c r="D37">
        <v>120.69</v>
      </c>
      <c r="E37">
        <v>1800</v>
      </c>
      <c r="F37">
        <v>27.310099999999998</v>
      </c>
      <c r="G37">
        <v>87.73</v>
      </c>
      <c r="H37" t="str">
        <f t="shared" si="2"/>
        <v>No</v>
      </c>
      <c r="I37">
        <v>83.18</v>
      </c>
      <c r="J37">
        <v>64.87</v>
      </c>
      <c r="K37">
        <v>38.71</v>
      </c>
    </row>
    <row r="38" spans="1:14" x14ac:dyDescent="0.2">
      <c r="A38" s="10">
        <v>9</v>
      </c>
      <c r="B38">
        <v>15</v>
      </c>
      <c r="C38">
        <v>1.04</v>
      </c>
      <c r="D38">
        <v>139.31</v>
      </c>
      <c r="E38">
        <v>1800</v>
      </c>
      <c r="F38">
        <v>32.515799999999999</v>
      </c>
      <c r="G38">
        <v>94.01</v>
      </c>
      <c r="H38" t="str">
        <f t="shared" si="2"/>
        <v>No</v>
      </c>
      <c r="I38">
        <v>93.46</v>
      </c>
      <c r="J38">
        <v>56.6</v>
      </c>
      <c r="K38">
        <v>19.05</v>
      </c>
    </row>
    <row r="39" spans="1:14" x14ac:dyDescent="0.2">
      <c r="A39" s="10">
        <v>10</v>
      </c>
      <c r="B39">
        <v>11</v>
      </c>
      <c r="C39">
        <v>1.36</v>
      </c>
      <c r="D39">
        <v>136.33000000000001</v>
      </c>
      <c r="E39">
        <v>1840</v>
      </c>
      <c r="F39">
        <v>28.5168</v>
      </c>
      <c r="G39">
        <v>97.46</v>
      </c>
      <c r="H39" t="str">
        <f t="shared" si="2"/>
        <v>No</v>
      </c>
      <c r="I39">
        <v>91.21</v>
      </c>
      <c r="J39">
        <v>63.23</v>
      </c>
      <c r="K39">
        <v>32.56</v>
      </c>
    </row>
    <row r="41" spans="1:14" x14ac:dyDescent="0.2">
      <c r="A41" s="12" t="s">
        <v>18</v>
      </c>
      <c r="B41" s="12">
        <f>AVERAGE(B30:B39)</f>
        <v>13.6</v>
      </c>
      <c r="C41" s="12">
        <f>AVERAGE(C30:C39)</f>
        <v>1.468</v>
      </c>
      <c r="D41" s="3">
        <f>AVERAGE(D30:D39)</f>
        <v>142.89699999999999</v>
      </c>
      <c r="E41" s="12">
        <f t="shared" ref="E41:G41" si="3">AVERAGE(E30:E39)</f>
        <v>1945.1</v>
      </c>
      <c r="F41" s="12">
        <f t="shared" si="3"/>
        <v>31.63204</v>
      </c>
      <c r="G41" s="12">
        <f t="shared" si="3"/>
        <v>97.306000000000012</v>
      </c>
      <c r="H41" s="12">
        <f>(COUNTIF(H30:H39,"Yes")/10)*100</f>
        <v>0</v>
      </c>
      <c r="I41" s="12">
        <f>AVERAGE(I30:I39)</f>
        <v>87.753000000000014</v>
      </c>
      <c r="J41" s="12">
        <f t="shared" ref="J41:K41" si="4">AVERAGE(J30:J39)</f>
        <v>60.375</v>
      </c>
      <c r="K41" s="12">
        <f t="shared" si="4"/>
        <v>29.625</v>
      </c>
      <c r="L41" s="12" t="e">
        <f>AVERAGE(L30:L39)</f>
        <v>#DIV/0!</v>
      </c>
      <c r="M41" s="12"/>
      <c r="N41" s="12"/>
    </row>
    <row r="42" spans="1:14" x14ac:dyDescent="0.2">
      <c r="F42" s="3">
        <f>((D41-G41)/D41)*100</f>
        <v>31.904798561201414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646A-54FB-F347-8764-3C5A0D5DDF7C}">
  <dimension ref="A1:O77"/>
  <sheetViews>
    <sheetView topLeftCell="D44" workbookViewId="0">
      <selection activeCell="C19" sqref="C19"/>
    </sheetView>
  </sheetViews>
  <sheetFormatPr baseColWidth="10" defaultRowHeight="16" x14ac:dyDescent="0.2"/>
  <sheetData>
    <row r="1" spans="1:15" x14ac:dyDescent="0.2">
      <c r="B1" s="10"/>
      <c r="C1" s="10"/>
      <c r="D1" s="10"/>
      <c r="E1" s="10"/>
      <c r="F1" s="10"/>
      <c r="G1" s="10"/>
      <c r="H1" s="10"/>
      <c r="I1" s="10"/>
      <c r="J1" s="10"/>
      <c r="K1" s="35"/>
      <c r="L1" s="10"/>
      <c r="M1" s="10"/>
      <c r="O1" s="36"/>
    </row>
    <row r="2" spans="1:15" x14ac:dyDescent="0.2">
      <c r="A2" s="37"/>
      <c r="B2" s="38"/>
      <c r="O2" s="35"/>
    </row>
    <row r="3" spans="1:15" x14ac:dyDescent="0.2">
      <c r="A3" s="37"/>
      <c r="B3" s="38"/>
    </row>
    <row r="4" spans="1:15" x14ac:dyDescent="0.2">
      <c r="B4" s="38"/>
    </row>
    <row r="5" spans="1:15" x14ac:dyDescent="0.2">
      <c r="B5" s="38"/>
    </row>
    <row r="6" spans="1:15" x14ac:dyDescent="0.2">
      <c r="O6" s="27"/>
    </row>
    <row r="7" spans="1:15" x14ac:dyDescent="0.2">
      <c r="O7" s="27"/>
    </row>
    <row r="12" spans="1:15" ht="22" x14ac:dyDescent="0.3">
      <c r="A12" s="28" t="s">
        <v>42</v>
      </c>
    </row>
    <row r="13" spans="1:15" x14ac:dyDescent="0.2">
      <c r="A13" s="8" t="s">
        <v>47</v>
      </c>
      <c r="B13" s="9" t="s">
        <v>10</v>
      </c>
      <c r="C13" s="9" t="s">
        <v>43</v>
      </c>
      <c r="D13" s="9" t="s">
        <v>14</v>
      </c>
      <c r="E13" s="9" t="s">
        <v>48</v>
      </c>
      <c r="F13" s="9" t="s">
        <v>15</v>
      </c>
      <c r="G13" s="9" t="s">
        <v>16</v>
      </c>
      <c r="H13" s="9" t="s">
        <v>17</v>
      </c>
      <c r="I13" s="9" t="s">
        <v>49</v>
      </c>
      <c r="J13" s="29"/>
      <c r="K13" s="29"/>
      <c r="L13" s="29"/>
      <c r="M13" s="29"/>
      <c r="N13" s="29"/>
    </row>
    <row r="14" spans="1:15" x14ac:dyDescent="0.2">
      <c r="A14" s="10">
        <v>1</v>
      </c>
      <c r="B14">
        <v>5</v>
      </c>
      <c r="C14">
        <v>111.3125</v>
      </c>
      <c r="D14" s="30">
        <v>0.59770000000000001</v>
      </c>
      <c r="E14" s="31">
        <v>2.4104118347167901E-4</v>
      </c>
      <c r="F14" s="30">
        <v>0.71299999999999997</v>
      </c>
      <c r="G14" s="30">
        <v>0.60229999999999995</v>
      </c>
      <c r="I14">
        <v>7</v>
      </c>
    </row>
    <row r="15" spans="1:15" x14ac:dyDescent="0.2">
      <c r="A15" s="10">
        <v>2</v>
      </c>
      <c r="B15">
        <v>9</v>
      </c>
      <c r="C15">
        <v>97.97</v>
      </c>
      <c r="D15" s="30">
        <v>0.46760000000000002</v>
      </c>
      <c r="E15">
        <v>3.509521484375E-4</v>
      </c>
      <c r="F15" s="30">
        <v>0.64539999999999997</v>
      </c>
      <c r="G15" s="30">
        <v>0.77239999999999998</v>
      </c>
      <c r="I15">
        <v>7</v>
      </c>
    </row>
    <row r="16" spans="1:15" x14ac:dyDescent="0.2">
      <c r="A16" s="10">
        <v>3</v>
      </c>
      <c r="B16">
        <v>5</v>
      </c>
      <c r="C16">
        <v>111.67</v>
      </c>
      <c r="D16" s="30">
        <v>0.622</v>
      </c>
      <c r="E16">
        <v>3.2711029052734299E-4</v>
      </c>
      <c r="F16" s="30">
        <v>0.62670000000000003</v>
      </c>
      <c r="G16" s="30">
        <v>0.39200000000000002</v>
      </c>
      <c r="I16">
        <v>7</v>
      </c>
    </row>
    <row r="17" spans="1:14" x14ac:dyDescent="0.2">
      <c r="A17" s="10">
        <v>4</v>
      </c>
      <c r="B17">
        <v>7</v>
      </c>
      <c r="C17">
        <v>102.26</v>
      </c>
      <c r="D17" s="30">
        <v>0.5716</v>
      </c>
      <c r="E17">
        <v>3.3211708068847602E-4</v>
      </c>
      <c r="F17" s="30">
        <v>0.66469999999999996</v>
      </c>
      <c r="G17" s="30">
        <v>0.69130000000000003</v>
      </c>
      <c r="I17">
        <v>7</v>
      </c>
    </row>
    <row r="18" spans="1:14" x14ac:dyDescent="0.2">
      <c r="A18" s="10">
        <v>5</v>
      </c>
      <c r="B18">
        <v>8</v>
      </c>
      <c r="C18">
        <v>97.62</v>
      </c>
      <c r="D18" s="30">
        <v>0.48799999999999999</v>
      </c>
      <c r="E18" s="32">
        <v>3.40938568115234E-4</v>
      </c>
      <c r="F18" s="30">
        <v>0.62139999999999995</v>
      </c>
      <c r="G18" s="30">
        <v>0.68799999999999994</v>
      </c>
      <c r="I18">
        <v>7</v>
      </c>
    </row>
    <row r="19" spans="1:14" x14ac:dyDescent="0.2">
      <c r="A19" s="10">
        <v>6</v>
      </c>
      <c r="B19" s="11">
        <v>2</v>
      </c>
      <c r="C19">
        <v>91.12</v>
      </c>
      <c r="D19" s="30">
        <v>0.82509999999999994</v>
      </c>
      <c r="E19">
        <v>1.40905380249023E-4</v>
      </c>
      <c r="F19" s="30">
        <v>0.64429999999999998</v>
      </c>
      <c r="G19" s="30">
        <v>0.50700000000000001</v>
      </c>
      <c r="I19">
        <v>8</v>
      </c>
    </row>
    <row r="20" spans="1:14" s="41" customFormat="1" x14ac:dyDescent="0.2">
      <c r="A20" s="42">
        <v>7</v>
      </c>
      <c r="B20" s="41">
        <v>5</v>
      </c>
      <c r="C20" s="41">
        <v>122.91</v>
      </c>
      <c r="D20" s="43">
        <v>0.64459999999999995</v>
      </c>
      <c r="E20" s="41">
        <v>2.7704238891601497E-4</v>
      </c>
      <c r="F20" s="43">
        <v>0.68840000000000001</v>
      </c>
      <c r="G20" s="43">
        <v>0.60260000000000002</v>
      </c>
      <c r="I20" s="41">
        <v>7</v>
      </c>
    </row>
    <row r="21" spans="1:14" x14ac:dyDescent="0.2">
      <c r="A21" s="10">
        <v>8</v>
      </c>
      <c r="B21">
        <v>4</v>
      </c>
      <c r="C21">
        <v>76.41</v>
      </c>
      <c r="D21" s="30">
        <v>0.65259999999999996</v>
      </c>
      <c r="E21">
        <v>1.9502639770507799E-4</v>
      </c>
      <c r="F21" s="30">
        <v>0.59770000000000001</v>
      </c>
      <c r="G21" s="30">
        <v>0.55620000000000003</v>
      </c>
      <c r="I21">
        <v>7</v>
      </c>
    </row>
    <row r="22" spans="1:14" x14ac:dyDescent="0.2">
      <c r="A22" s="10">
        <v>9</v>
      </c>
      <c r="B22">
        <v>2</v>
      </c>
      <c r="C22">
        <v>71.73</v>
      </c>
      <c r="D22" s="30">
        <v>0.82699999999999996</v>
      </c>
      <c r="E22">
        <v>1.44720077514648E-4</v>
      </c>
      <c r="F22" s="30">
        <v>0.59009999999999996</v>
      </c>
      <c r="G22" s="30">
        <v>0.50319999999999998</v>
      </c>
      <c r="I22">
        <v>8</v>
      </c>
    </row>
    <row r="23" spans="1:14" x14ac:dyDescent="0.2">
      <c r="A23" s="10">
        <v>10</v>
      </c>
      <c r="B23">
        <v>2</v>
      </c>
      <c r="C23">
        <v>71.540000000000006</v>
      </c>
      <c r="D23" s="30">
        <v>0.79720000000000002</v>
      </c>
      <c r="E23">
        <v>1.5091896057128901E-4</v>
      </c>
      <c r="F23" s="30">
        <v>0.55930000000000002</v>
      </c>
      <c r="G23" s="30">
        <v>0.61960000000000004</v>
      </c>
      <c r="I23">
        <v>7</v>
      </c>
    </row>
    <row r="25" spans="1:14" x14ac:dyDescent="0.2">
      <c r="A25" s="12" t="s">
        <v>18</v>
      </c>
      <c r="B25" s="12">
        <f>AVERAGE(B14:B23)</f>
        <v>4.9000000000000004</v>
      </c>
      <c r="C25" s="3">
        <f>AVERAGE(C14:C23)</f>
        <v>95.454249999999988</v>
      </c>
      <c r="D25" s="33">
        <f t="shared" ref="D25:I25" si="0">AVERAGE(D14:D23)</f>
        <v>0.64933999999999992</v>
      </c>
      <c r="E25" s="12">
        <f t="shared" si="0"/>
        <v>2.5007724761962849E-4</v>
      </c>
      <c r="F25" s="33">
        <f t="shared" si="0"/>
        <v>0.63509999999999989</v>
      </c>
      <c r="G25" s="33">
        <f t="shared" si="0"/>
        <v>0.59345999999999999</v>
      </c>
      <c r="H25" s="12" t="e">
        <f t="shared" si="0"/>
        <v>#DIV/0!</v>
      </c>
      <c r="I25" s="12">
        <f t="shared" si="0"/>
        <v>7.2</v>
      </c>
      <c r="J25" s="34"/>
      <c r="K25" s="34"/>
      <c r="L25" s="34"/>
      <c r="M25" s="34"/>
      <c r="N25" s="34"/>
    </row>
    <row r="26" spans="1:14" x14ac:dyDescent="0.2">
      <c r="B26">
        <f>AVERAGE(B14:B19,B21:B23)</f>
        <v>4.8888888888888893</v>
      </c>
      <c r="C26">
        <f t="shared" ref="C26:I26" si="1">AVERAGE(C14:C19,C21:C23)</f>
        <v>92.403611111111104</v>
      </c>
      <c r="D26">
        <f t="shared" si="1"/>
        <v>0.64986666666666659</v>
      </c>
      <c r="E26">
        <f t="shared" si="1"/>
        <v>2.4708112080891887E-4</v>
      </c>
      <c r="F26">
        <f t="shared" si="1"/>
        <v>0.62917777777777772</v>
      </c>
      <c r="G26">
        <f t="shared" si="1"/>
        <v>0.59244444444444444</v>
      </c>
      <c r="H26" t="e">
        <f t="shared" si="1"/>
        <v>#DIV/0!</v>
      </c>
      <c r="I26">
        <f t="shared" si="1"/>
        <v>7.2222222222222223</v>
      </c>
    </row>
    <row r="29" spans="1:14" ht="22" x14ac:dyDescent="0.3">
      <c r="A29" s="28" t="s">
        <v>44</v>
      </c>
      <c r="I29" s="29"/>
      <c r="M29" s="29"/>
      <c r="N29" s="29"/>
    </row>
    <row r="30" spans="1:14" x14ac:dyDescent="0.2">
      <c r="A30" s="8" t="s">
        <v>47</v>
      </c>
      <c r="B30" s="9" t="s">
        <v>10</v>
      </c>
      <c r="C30" s="9" t="s">
        <v>43</v>
      </c>
      <c r="D30" s="9" t="s">
        <v>14</v>
      </c>
      <c r="E30" s="9" t="s">
        <v>48</v>
      </c>
      <c r="F30" s="9" t="s">
        <v>15</v>
      </c>
      <c r="G30" s="9" t="s">
        <v>16</v>
      </c>
      <c r="H30" s="9" t="s">
        <v>17</v>
      </c>
      <c r="I30" s="9" t="s">
        <v>49</v>
      </c>
      <c r="J30" s="13"/>
    </row>
    <row r="31" spans="1:14" x14ac:dyDescent="0.2">
      <c r="A31" s="10">
        <v>1</v>
      </c>
      <c r="B31">
        <v>1</v>
      </c>
      <c r="C31">
        <v>65.900000000000006</v>
      </c>
      <c r="D31" s="30">
        <v>0.87909999999999999</v>
      </c>
      <c r="E31">
        <v>1.18017196655273E-4</v>
      </c>
      <c r="F31" s="30">
        <v>0.61009999999999998</v>
      </c>
      <c r="G31" s="30">
        <v>0.32119999999999999</v>
      </c>
      <c r="I31">
        <v>7</v>
      </c>
      <c r="J31" s="13"/>
    </row>
    <row r="32" spans="1:14" x14ac:dyDescent="0.2">
      <c r="A32" s="10">
        <v>2</v>
      </c>
      <c r="B32">
        <v>11</v>
      </c>
      <c r="C32">
        <v>108.76</v>
      </c>
      <c r="D32" s="30">
        <v>0.44369999999999998</v>
      </c>
      <c r="E32">
        <v>3.8599967956542898E-4</v>
      </c>
      <c r="F32" s="30">
        <v>0.60450000000000004</v>
      </c>
      <c r="G32" s="30">
        <v>0.78700000000000003</v>
      </c>
      <c r="I32">
        <v>7</v>
      </c>
    </row>
    <row r="33" spans="1:14" x14ac:dyDescent="0.2">
      <c r="A33" s="10">
        <v>3</v>
      </c>
      <c r="B33">
        <v>11</v>
      </c>
      <c r="C33">
        <v>108.23</v>
      </c>
      <c r="D33" s="30">
        <v>0.40970000000000001</v>
      </c>
      <c r="E33">
        <v>3.7622451782226497E-4</v>
      </c>
      <c r="F33" s="30">
        <v>0.53069999999999995</v>
      </c>
      <c r="G33" s="30">
        <v>0.68110000000000004</v>
      </c>
      <c r="I33">
        <v>7</v>
      </c>
    </row>
    <row r="34" spans="1:14" x14ac:dyDescent="0.2">
      <c r="A34" s="10">
        <v>4</v>
      </c>
      <c r="B34">
        <v>7</v>
      </c>
      <c r="C34">
        <v>120.85</v>
      </c>
      <c r="D34" s="30">
        <v>0.53039999999999998</v>
      </c>
      <c r="E34">
        <v>3.1185150146484299E-4</v>
      </c>
      <c r="F34" s="30">
        <v>0.60299999999999998</v>
      </c>
      <c r="G34" s="30">
        <v>0.66139999999999999</v>
      </c>
      <c r="I34">
        <v>7</v>
      </c>
    </row>
    <row r="35" spans="1:14" x14ac:dyDescent="0.2">
      <c r="A35" s="10">
        <v>5</v>
      </c>
      <c r="B35">
        <v>5</v>
      </c>
      <c r="C35">
        <v>115.74</v>
      </c>
      <c r="D35" s="30">
        <v>0.6583</v>
      </c>
      <c r="E35">
        <v>2.5129318237304601E-4</v>
      </c>
      <c r="F35" s="30">
        <v>0.59470000000000001</v>
      </c>
      <c r="G35" s="30">
        <v>0.65710000000000002</v>
      </c>
      <c r="I35">
        <v>8</v>
      </c>
    </row>
    <row r="36" spans="1:14" s="41" customFormat="1" x14ac:dyDescent="0.2">
      <c r="A36" s="42">
        <v>6</v>
      </c>
      <c r="B36" s="44">
        <v>11</v>
      </c>
      <c r="C36" s="41">
        <v>147.91</v>
      </c>
      <c r="D36" s="43">
        <v>0.37309999999999999</v>
      </c>
      <c r="E36" s="41">
        <v>3.2281875610351497E-4</v>
      </c>
      <c r="F36" s="43">
        <v>0.6915</v>
      </c>
      <c r="G36" s="43">
        <v>0.70989999999999998</v>
      </c>
      <c r="I36" s="41">
        <v>7</v>
      </c>
    </row>
    <row r="37" spans="1:14" x14ac:dyDescent="0.2">
      <c r="A37" s="10">
        <v>7</v>
      </c>
      <c r="B37">
        <v>9</v>
      </c>
      <c r="C37">
        <v>142.09</v>
      </c>
      <c r="D37" s="30">
        <v>0.55820000000000003</v>
      </c>
      <c r="E37">
        <v>3.1614303588867101E-4</v>
      </c>
      <c r="F37" s="30">
        <v>0.62250000000000005</v>
      </c>
      <c r="G37" s="30">
        <v>0.65569999999999995</v>
      </c>
      <c r="I37">
        <v>7</v>
      </c>
    </row>
    <row r="38" spans="1:14" x14ac:dyDescent="0.2">
      <c r="A38" s="10">
        <v>8</v>
      </c>
      <c r="B38">
        <v>5</v>
      </c>
      <c r="C38">
        <v>111.15</v>
      </c>
      <c r="D38" s="30">
        <v>0.62639999999999996</v>
      </c>
      <c r="E38" s="32">
        <v>3.2114982604980398E-4</v>
      </c>
      <c r="F38" s="30">
        <v>0.62780000000000002</v>
      </c>
      <c r="G38" s="30">
        <v>0.4521</v>
      </c>
      <c r="I38">
        <v>8</v>
      </c>
    </row>
    <row r="39" spans="1:14" x14ac:dyDescent="0.2">
      <c r="A39" s="10">
        <v>9</v>
      </c>
      <c r="B39">
        <v>7</v>
      </c>
      <c r="C39">
        <v>125.96</v>
      </c>
      <c r="D39" s="30">
        <v>0.53169999999999995</v>
      </c>
      <c r="E39">
        <v>2.8800964355468701E-4</v>
      </c>
      <c r="F39" s="30">
        <v>0.61319999999999997</v>
      </c>
      <c r="G39" s="30">
        <v>0.66410000000000002</v>
      </c>
      <c r="I39">
        <v>7</v>
      </c>
    </row>
    <row r="40" spans="1:14" x14ac:dyDescent="0.2">
      <c r="A40" s="10">
        <v>10</v>
      </c>
      <c r="B40">
        <v>4</v>
      </c>
      <c r="C40">
        <v>82.105999999999995</v>
      </c>
      <c r="D40" s="30">
        <v>0.68700000000000006</v>
      </c>
      <c r="E40">
        <v>2.0003318786620999E-4</v>
      </c>
      <c r="F40" s="30">
        <v>0.58750000000000002</v>
      </c>
      <c r="G40" s="30">
        <v>0.68659999999999999</v>
      </c>
      <c r="I40">
        <v>8</v>
      </c>
    </row>
    <row r="41" spans="1:14" x14ac:dyDescent="0.2">
      <c r="J41" s="34"/>
      <c r="K41" s="34"/>
      <c r="L41" s="34"/>
      <c r="M41" s="34"/>
      <c r="N41" s="34"/>
    </row>
    <row r="42" spans="1:14" x14ac:dyDescent="0.2">
      <c r="A42" s="12" t="s">
        <v>18</v>
      </c>
      <c r="B42" s="12">
        <f>AVERAGE(B31:B40)</f>
        <v>7.1</v>
      </c>
      <c r="C42" s="3">
        <f>AVERAGE(C31:C40)</f>
        <v>112.86959999999999</v>
      </c>
      <c r="D42" s="33">
        <f t="shared" ref="D42:I42" si="2">AVERAGE(D31:D40)</f>
        <v>0.56976000000000004</v>
      </c>
      <c r="E42" s="12">
        <f t="shared" si="2"/>
        <v>2.8915405273437428E-4</v>
      </c>
      <c r="F42" s="33">
        <f t="shared" si="2"/>
        <v>0.60854999999999992</v>
      </c>
      <c r="G42" s="33">
        <f t="shared" si="2"/>
        <v>0.62762000000000007</v>
      </c>
      <c r="H42" s="12" t="e">
        <f t="shared" si="2"/>
        <v>#DIV/0!</v>
      </c>
      <c r="I42" s="12">
        <f t="shared" si="2"/>
        <v>7.3</v>
      </c>
    </row>
    <row r="43" spans="1:14" x14ac:dyDescent="0.2">
      <c r="B43">
        <f>AVERAGE(B31:B35,B37:B40)</f>
        <v>6.666666666666667</v>
      </c>
      <c r="C43">
        <f t="shared" ref="C43:H43" si="3">AVERAGE(C31:C35,C37:C40)</f>
        <v>108.97622222222223</v>
      </c>
      <c r="D43">
        <f t="shared" si="3"/>
        <v>0.5916111111111112</v>
      </c>
      <c r="E43">
        <f t="shared" si="3"/>
        <v>2.8541353013780311E-4</v>
      </c>
      <c r="F43">
        <f t="shared" si="3"/>
        <v>0.59933333333333338</v>
      </c>
      <c r="G43">
        <f t="shared" si="3"/>
        <v>0.6184777777777779</v>
      </c>
      <c r="H43" t="e">
        <f t="shared" si="3"/>
        <v>#DIV/0!</v>
      </c>
      <c r="I43">
        <f>AVERAGE(I31:I35,I37:I40)</f>
        <v>7.333333333333333</v>
      </c>
    </row>
    <row r="46" spans="1:14" ht="22" x14ac:dyDescent="0.3">
      <c r="A46" s="28" t="s">
        <v>45</v>
      </c>
    </row>
    <row r="47" spans="1:14" x14ac:dyDescent="0.2">
      <c r="A47" s="8" t="s">
        <v>47</v>
      </c>
      <c r="B47" s="9" t="s">
        <v>10</v>
      </c>
      <c r="C47" s="9" t="s">
        <v>43</v>
      </c>
      <c r="D47" s="9" t="s">
        <v>14</v>
      </c>
      <c r="E47" s="9" t="s">
        <v>48</v>
      </c>
      <c r="F47" s="9" t="s">
        <v>15</v>
      </c>
      <c r="G47" s="9" t="s">
        <v>16</v>
      </c>
      <c r="H47" s="9" t="s">
        <v>17</v>
      </c>
      <c r="I47" s="9" t="s">
        <v>49</v>
      </c>
    </row>
    <row r="48" spans="1:14" x14ac:dyDescent="0.2">
      <c r="A48" s="10">
        <v>1</v>
      </c>
      <c r="B48">
        <v>10</v>
      </c>
      <c r="C48">
        <v>131.57</v>
      </c>
      <c r="D48" s="30">
        <v>0.42899999999999999</v>
      </c>
      <c r="E48">
        <v>3.9196014404296799E-4</v>
      </c>
      <c r="F48" s="30">
        <v>0.63549999999999995</v>
      </c>
      <c r="G48" s="30">
        <v>0.66900000000000004</v>
      </c>
      <c r="I48">
        <v>7</v>
      </c>
    </row>
    <row r="49" spans="1:9" x14ac:dyDescent="0.2">
      <c r="A49" s="10">
        <v>2</v>
      </c>
      <c r="B49">
        <v>0</v>
      </c>
      <c r="C49">
        <v>86.74</v>
      </c>
      <c r="D49" s="30">
        <v>1</v>
      </c>
      <c r="E49" s="32">
        <v>9.918212890625E-5</v>
      </c>
      <c r="F49" s="30">
        <v>0.5343</v>
      </c>
      <c r="G49" s="30"/>
      <c r="I49">
        <v>8</v>
      </c>
    </row>
    <row r="50" spans="1:9" x14ac:dyDescent="0.2">
      <c r="A50" s="10">
        <v>3</v>
      </c>
      <c r="B50">
        <v>4</v>
      </c>
      <c r="C50">
        <v>104.28</v>
      </c>
      <c r="D50" s="30">
        <v>0.62990000000000002</v>
      </c>
      <c r="E50">
        <v>2.62975692749023E-4</v>
      </c>
      <c r="F50" s="30">
        <v>0.73370000000000002</v>
      </c>
      <c r="G50" s="30">
        <v>0.44180000000000003</v>
      </c>
      <c r="I50">
        <v>7</v>
      </c>
    </row>
    <row r="51" spans="1:9" x14ac:dyDescent="0.2">
      <c r="A51" s="10">
        <v>4</v>
      </c>
      <c r="B51">
        <v>2</v>
      </c>
      <c r="C51">
        <v>78.790000000000006</v>
      </c>
      <c r="D51" s="30">
        <v>0.79159999999999997</v>
      </c>
      <c r="E51">
        <v>1.3899803161620999E-4</v>
      </c>
      <c r="F51" s="30">
        <v>0.53779999999999994</v>
      </c>
      <c r="G51" s="30">
        <v>0.4511</v>
      </c>
      <c r="I51">
        <v>7</v>
      </c>
    </row>
    <row r="52" spans="1:9" s="41" customFormat="1" x14ac:dyDescent="0.2">
      <c r="A52" s="42">
        <v>5</v>
      </c>
      <c r="B52" s="41">
        <v>9</v>
      </c>
      <c r="C52" s="41">
        <v>146.28</v>
      </c>
      <c r="D52" s="43">
        <v>0.4854</v>
      </c>
      <c r="E52" s="41">
        <v>3.62157821655273E-4</v>
      </c>
      <c r="F52" s="43">
        <v>0.62709999999999999</v>
      </c>
      <c r="G52" s="43">
        <v>0.6774</v>
      </c>
      <c r="I52" s="41">
        <v>8</v>
      </c>
    </row>
    <row r="53" spans="1:9" x14ac:dyDescent="0.2">
      <c r="A53" s="10">
        <v>6</v>
      </c>
      <c r="B53" s="11">
        <v>6</v>
      </c>
      <c r="C53">
        <v>112.34</v>
      </c>
      <c r="D53" s="30">
        <v>0.56989999999999996</v>
      </c>
      <c r="E53" s="32">
        <v>2.72274017333984E-4</v>
      </c>
      <c r="F53" s="30">
        <v>0.73299999999999998</v>
      </c>
      <c r="G53" s="30">
        <v>0.6633</v>
      </c>
      <c r="I53">
        <v>7</v>
      </c>
    </row>
    <row r="54" spans="1:9" x14ac:dyDescent="0.2">
      <c r="A54" s="10">
        <v>7</v>
      </c>
      <c r="B54">
        <v>12</v>
      </c>
      <c r="C54">
        <v>121.56</v>
      </c>
      <c r="D54" s="30">
        <v>0.3382</v>
      </c>
      <c r="E54">
        <v>3.24010848999023E-4</v>
      </c>
      <c r="F54" s="30">
        <v>0.69589999999999996</v>
      </c>
      <c r="G54" s="30">
        <v>0.5806</v>
      </c>
      <c r="I54">
        <v>7</v>
      </c>
    </row>
    <row r="55" spans="1:9" x14ac:dyDescent="0.2">
      <c r="A55" s="10">
        <v>8</v>
      </c>
      <c r="B55">
        <v>9</v>
      </c>
      <c r="C55">
        <v>129.32</v>
      </c>
      <c r="D55" s="30">
        <v>0.55989999999999995</v>
      </c>
      <c r="E55">
        <v>4.0292739868163997E-4</v>
      </c>
      <c r="F55" s="30">
        <v>0.60960000000000003</v>
      </c>
      <c r="G55" s="30">
        <v>0.76149999999999995</v>
      </c>
      <c r="I55">
        <v>8</v>
      </c>
    </row>
    <row r="56" spans="1:9" x14ac:dyDescent="0.2">
      <c r="A56" s="10">
        <v>9</v>
      </c>
      <c r="B56">
        <v>1</v>
      </c>
      <c r="C56">
        <v>93.48</v>
      </c>
      <c r="D56" s="30">
        <v>0.89600000000000002</v>
      </c>
      <c r="E56" s="32">
        <v>9.7036361694335897E-5</v>
      </c>
      <c r="F56" s="30">
        <v>0.61680000000000001</v>
      </c>
      <c r="G56" s="30">
        <v>0.34420000000000001</v>
      </c>
      <c r="I56">
        <v>7</v>
      </c>
    </row>
    <row r="57" spans="1:9" x14ac:dyDescent="0.2">
      <c r="A57" s="10">
        <v>10</v>
      </c>
      <c r="B57">
        <v>4</v>
      </c>
      <c r="C57">
        <v>102.32</v>
      </c>
      <c r="D57" s="30">
        <v>0.64439999999999997</v>
      </c>
      <c r="E57">
        <v>3.2305717468261702E-4</v>
      </c>
      <c r="F57" s="30">
        <v>0.62339999999999995</v>
      </c>
      <c r="G57" s="30">
        <v>0.55689999999999995</v>
      </c>
      <c r="I57">
        <v>8</v>
      </c>
    </row>
    <row r="59" spans="1:9" x14ac:dyDescent="0.2">
      <c r="A59" s="12" t="s">
        <v>18</v>
      </c>
      <c r="B59" s="12">
        <f>AVERAGE(B48:B57)</f>
        <v>5.7</v>
      </c>
      <c r="C59" s="3">
        <f>AVERAGE(C48:C57)</f>
        <v>110.66800000000001</v>
      </c>
      <c r="D59" s="33">
        <f t="shared" ref="D59:I59" si="4">AVERAGE(D48:D57)</f>
        <v>0.63442999999999994</v>
      </c>
      <c r="E59" s="12">
        <f t="shared" si="4"/>
        <v>2.6745796203613237E-4</v>
      </c>
      <c r="F59" s="33">
        <f t="shared" si="4"/>
        <v>0.63471000000000011</v>
      </c>
      <c r="G59" s="33">
        <f t="shared" si="4"/>
        <v>0.57175555555555546</v>
      </c>
      <c r="H59" s="12" t="e">
        <f t="shared" si="4"/>
        <v>#DIV/0!</v>
      </c>
      <c r="I59" s="12">
        <f t="shared" si="4"/>
        <v>7.4</v>
      </c>
    </row>
    <row r="60" spans="1:9" x14ac:dyDescent="0.2">
      <c r="B60" s="47">
        <f>AVERAGE(B48:B51,B53:B57)</f>
        <v>5.333333333333333</v>
      </c>
      <c r="C60" s="47">
        <f t="shared" ref="C60:H60" si="5">AVERAGE(C48:C51,C53:C57)</f>
        <v>106.71111111111109</v>
      </c>
      <c r="D60" s="47">
        <f t="shared" si="5"/>
        <v>0.65098888888888895</v>
      </c>
      <c r="E60" s="47">
        <f t="shared" si="5"/>
        <v>2.5693575541178344E-4</v>
      </c>
      <c r="F60" s="47">
        <f>AVERAGE(F48:F51,F53:F57)</f>
        <v>0.63555555555555565</v>
      </c>
      <c r="G60" s="47">
        <f t="shared" si="5"/>
        <v>0.55854999999999999</v>
      </c>
      <c r="H60" s="47" t="e">
        <f t="shared" si="5"/>
        <v>#DIV/0!</v>
      </c>
      <c r="I60" s="47">
        <f>AVERAGE(I48:I51,I53:I57)</f>
        <v>7.333333333333333</v>
      </c>
    </row>
    <row r="63" spans="1:9" ht="22" x14ac:dyDescent="0.3">
      <c r="A63" s="28" t="s">
        <v>46</v>
      </c>
    </row>
    <row r="64" spans="1:9" x14ac:dyDescent="0.2">
      <c r="A64" s="8" t="s">
        <v>47</v>
      </c>
      <c r="B64" s="9" t="s">
        <v>10</v>
      </c>
      <c r="C64" s="9" t="s">
        <v>43</v>
      </c>
      <c r="D64" s="9" t="s">
        <v>14</v>
      </c>
      <c r="E64" s="9" t="s">
        <v>48</v>
      </c>
      <c r="F64" s="9" t="s">
        <v>15</v>
      </c>
      <c r="G64" s="9" t="s">
        <v>16</v>
      </c>
      <c r="H64" s="9" t="s">
        <v>17</v>
      </c>
      <c r="I64" s="9" t="s">
        <v>49</v>
      </c>
    </row>
    <row r="65" spans="1:9" x14ac:dyDescent="0.2">
      <c r="A65" s="10">
        <v>1</v>
      </c>
      <c r="B65">
        <v>9</v>
      </c>
      <c r="C65">
        <v>131.5</v>
      </c>
      <c r="D65" s="30">
        <v>0.44330000000000003</v>
      </c>
      <c r="E65">
        <v>3.8003921508788997E-4</v>
      </c>
      <c r="F65" s="30">
        <v>0.62150000000000005</v>
      </c>
      <c r="G65" s="30">
        <v>0.71099999999999997</v>
      </c>
      <c r="I65">
        <v>7</v>
      </c>
    </row>
    <row r="66" spans="1:9" x14ac:dyDescent="0.2">
      <c r="A66" s="10">
        <v>2</v>
      </c>
      <c r="B66">
        <v>8</v>
      </c>
      <c r="C66">
        <v>120.94</v>
      </c>
      <c r="D66" s="30">
        <v>0.50919999999999999</v>
      </c>
      <c r="E66" s="32">
        <v>3.0994415283203098E-4</v>
      </c>
      <c r="F66" s="30">
        <v>0.66749999999999998</v>
      </c>
      <c r="G66" s="30">
        <v>0.62539999999999996</v>
      </c>
      <c r="I66">
        <v>8</v>
      </c>
    </row>
    <row r="67" spans="1:9" x14ac:dyDescent="0.2">
      <c r="A67" s="10">
        <v>3</v>
      </c>
      <c r="B67">
        <v>8</v>
      </c>
      <c r="C67">
        <v>129.97</v>
      </c>
      <c r="D67" s="30">
        <v>0.41920000000000002</v>
      </c>
      <c r="E67">
        <v>3.18050384521484E-4</v>
      </c>
      <c r="F67" s="30">
        <v>0.7016</v>
      </c>
      <c r="G67" s="30">
        <v>0.69120000000000004</v>
      </c>
      <c r="I67">
        <v>7</v>
      </c>
    </row>
    <row r="68" spans="1:9" s="41" customFormat="1" x14ac:dyDescent="0.2">
      <c r="A68" s="42">
        <v>4</v>
      </c>
      <c r="B68" s="41">
        <v>9</v>
      </c>
      <c r="C68" s="41">
        <v>187.71</v>
      </c>
      <c r="D68" s="43">
        <v>0.40799999999999997</v>
      </c>
      <c r="E68" s="41">
        <v>3.4999847412109299E-4</v>
      </c>
      <c r="F68" s="43">
        <v>0.66359999999999997</v>
      </c>
      <c r="G68" s="43">
        <v>0.70879999999999999</v>
      </c>
      <c r="I68" s="41">
        <v>8</v>
      </c>
    </row>
    <row r="69" spans="1:9" x14ac:dyDescent="0.2">
      <c r="A69" s="10">
        <v>5</v>
      </c>
      <c r="B69">
        <v>3</v>
      </c>
      <c r="C69">
        <v>96.35</v>
      </c>
      <c r="D69" s="30">
        <v>0.68310000000000004</v>
      </c>
      <c r="E69">
        <v>2.01940536499023E-4</v>
      </c>
      <c r="F69" s="30">
        <v>0.61860000000000004</v>
      </c>
      <c r="G69" s="30">
        <v>0.69730000000000003</v>
      </c>
      <c r="I69">
        <v>8</v>
      </c>
    </row>
    <row r="70" spans="1:9" x14ac:dyDescent="0.2">
      <c r="A70" s="10">
        <v>6</v>
      </c>
      <c r="B70" s="11">
        <v>7</v>
      </c>
      <c r="C70">
        <v>153.18</v>
      </c>
      <c r="D70" s="45">
        <v>0.4773</v>
      </c>
      <c r="E70">
        <v>2.7799606323242101E-4</v>
      </c>
      <c r="F70" s="45">
        <v>0.61780000000000002</v>
      </c>
      <c r="G70" s="45">
        <v>0.74909999999999999</v>
      </c>
      <c r="I70">
        <v>7</v>
      </c>
    </row>
    <row r="71" spans="1:9" x14ac:dyDescent="0.2">
      <c r="A71" s="10">
        <v>7</v>
      </c>
      <c r="B71">
        <v>2</v>
      </c>
      <c r="C71">
        <v>81.08</v>
      </c>
      <c r="D71" s="30">
        <v>0.77480000000000004</v>
      </c>
      <c r="E71">
        <v>1.27077102661132E-4</v>
      </c>
      <c r="F71" s="30">
        <v>0.58590000000000009</v>
      </c>
      <c r="G71" s="30">
        <v>0.49120000000000003</v>
      </c>
      <c r="I71">
        <v>7</v>
      </c>
    </row>
    <row r="72" spans="1:9" x14ac:dyDescent="0.2">
      <c r="A72" s="10">
        <v>8</v>
      </c>
      <c r="B72">
        <v>4</v>
      </c>
      <c r="C72">
        <v>91.01</v>
      </c>
      <c r="D72" s="30">
        <v>0.64429999999999998</v>
      </c>
      <c r="E72">
        <v>2.1409988403320299E-4</v>
      </c>
      <c r="F72" s="30">
        <v>0.64259999999999995</v>
      </c>
      <c r="G72" s="30">
        <v>0.68189999999999995</v>
      </c>
      <c r="I72">
        <v>7</v>
      </c>
    </row>
    <row r="73" spans="1:9" x14ac:dyDescent="0.2">
      <c r="A73" s="10">
        <v>9</v>
      </c>
      <c r="B73">
        <v>7</v>
      </c>
      <c r="C73">
        <v>121.1</v>
      </c>
      <c r="D73" s="30">
        <v>0.47720000000000001</v>
      </c>
      <c r="E73">
        <v>2.8419494628906201E-4</v>
      </c>
      <c r="F73" s="30">
        <v>0.64</v>
      </c>
      <c r="G73" s="30">
        <v>0.73140000000000005</v>
      </c>
      <c r="I73">
        <v>7</v>
      </c>
    </row>
    <row r="74" spans="1:9" x14ac:dyDescent="0.2">
      <c r="A74" s="10">
        <v>10</v>
      </c>
      <c r="B74">
        <v>7</v>
      </c>
      <c r="C74">
        <v>122.27</v>
      </c>
      <c r="D74" s="30">
        <v>0.4662</v>
      </c>
      <c r="E74">
        <v>2.95162200927734E-4</v>
      </c>
      <c r="F74" s="30">
        <v>0.65869999999999995</v>
      </c>
      <c r="G74" s="30">
        <v>0.73970000000000002</v>
      </c>
      <c r="I74">
        <v>8</v>
      </c>
    </row>
    <row r="76" spans="1:9" x14ac:dyDescent="0.2">
      <c r="A76" s="12" t="s">
        <v>18</v>
      </c>
      <c r="B76" s="12">
        <f>AVERAGE(B65:B74)</f>
        <v>6.4</v>
      </c>
      <c r="C76" s="3">
        <f>AVERAGE(C65:C74)</f>
        <v>123.51100000000001</v>
      </c>
      <c r="D76" s="33">
        <f t="shared" ref="D76:I76" si="6">AVERAGE(D65:D74)</f>
        <v>0.53025999999999995</v>
      </c>
      <c r="E76" s="12">
        <f t="shared" si="6"/>
        <v>2.7585029602050727E-4</v>
      </c>
      <c r="F76" s="33">
        <f t="shared" si="6"/>
        <v>0.64177999999999991</v>
      </c>
      <c r="G76" s="33">
        <f t="shared" si="6"/>
        <v>0.68269999999999997</v>
      </c>
      <c r="H76" s="12" t="e">
        <f t="shared" si="6"/>
        <v>#DIV/0!</v>
      </c>
      <c r="I76" s="12">
        <f t="shared" si="6"/>
        <v>7.4</v>
      </c>
    </row>
    <row r="77" spans="1:9" x14ac:dyDescent="0.2">
      <c r="B77">
        <f>AVERAGE(B65:B67,B69:B74)</f>
        <v>6.1111111111111107</v>
      </c>
      <c r="C77">
        <f t="shared" ref="C77:I77" si="7">AVERAGE(C65:C67,C69:C74)</f>
        <v>116.37777777777779</v>
      </c>
      <c r="D77">
        <f t="shared" si="7"/>
        <v>0.54384444444444435</v>
      </c>
      <c r="E77">
        <f t="shared" si="7"/>
        <v>2.6761160956488664E-4</v>
      </c>
      <c r="F77">
        <f t="shared" si="7"/>
        <v>0.63935555555555557</v>
      </c>
      <c r="G77">
        <f t="shared" si="7"/>
        <v>0.67979999999999996</v>
      </c>
      <c r="H77" t="e">
        <f t="shared" si="7"/>
        <v>#DIV/0!</v>
      </c>
      <c r="I77">
        <f t="shared" si="7"/>
        <v>7.333333333333333</v>
      </c>
    </row>
  </sheetData>
  <conditionalFormatting sqref="C14:C23">
    <cfRule type="cellIs" dxfId="23" priority="7" operator="lessThan">
      <formula>78.97</formula>
    </cfRule>
    <cfRule type="cellIs" dxfId="22" priority="8" operator="equal">
      <formula>78.97</formula>
    </cfRule>
  </conditionalFormatting>
  <conditionalFormatting sqref="C31:C40">
    <cfRule type="cellIs" dxfId="21" priority="1" operator="equal">
      <formula>78.97</formula>
    </cfRule>
    <cfRule type="cellIs" dxfId="20" priority="6" operator="lessThan">
      <formula>78.97</formula>
    </cfRule>
  </conditionalFormatting>
  <conditionalFormatting sqref="C48:C57">
    <cfRule type="cellIs" dxfId="19" priority="2" operator="equal">
      <formula>78.97</formula>
    </cfRule>
    <cfRule type="cellIs" dxfId="18" priority="5" operator="lessThan">
      <formula>78.97</formula>
    </cfRule>
  </conditionalFormatting>
  <conditionalFormatting sqref="C65:C74">
    <cfRule type="cellIs" dxfId="17" priority="3" operator="equal">
      <formula>78.97</formula>
    </cfRule>
    <cfRule type="cellIs" dxfId="16" priority="4" operator="lessThan">
      <formula>78.97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3473-A59E-6643-BCF1-822E1A0AE304}">
  <dimension ref="A1:O77"/>
  <sheetViews>
    <sheetView topLeftCell="A45" zoomScale="75" workbookViewId="0">
      <selection activeCell="C19" sqref="C19"/>
    </sheetView>
  </sheetViews>
  <sheetFormatPr baseColWidth="10" defaultRowHeight="16" x14ac:dyDescent="0.2"/>
  <cols>
    <col min="5" max="5" width="12.1640625" bestFit="1" customWidth="1"/>
  </cols>
  <sheetData>
    <row r="1" spans="1:15" x14ac:dyDescent="0.2">
      <c r="B1" s="10"/>
      <c r="C1" s="10"/>
      <c r="D1" s="10"/>
      <c r="E1" s="10"/>
      <c r="F1" s="10"/>
      <c r="G1" s="10"/>
      <c r="H1" s="10"/>
      <c r="I1" s="10"/>
      <c r="J1" s="10"/>
      <c r="K1" s="35"/>
      <c r="L1" s="10"/>
      <c r="M1" s="10"/>
      <c r="O1" s="36"/>
    </row>
    <row r="2" spans="1:15" x14ac:dyDescent="0.2">
      <c r="A2" s="37"/>
      <c r="B2" s="38"/>
      <c r="O2" s="35"/>
    </row>
    <row r="3" spans="1:15" x14ac:dyDescent="0.2">
      <c r="A3" s="37"/>
      <c r="B3" s="38"/>
    </row>
    <row r="4" spans="1:15" x14ac:dyDescent="0.2">
      <c r="B4" s="38"/>
    </row>
    <row r="5" spans="1:15" x14ac:dyDescent="0.2">
      <c r="B5" s="38"/>
    </row>
    <row r="6" spans="1:15" x14ac:dyDescent="0.2">
      <c r="O6" s="27"/>
    </row>
    <row r="7" spans="1:15" x14ac:dyDescent="0.2">
      <c r="O7" s="27"/>
    </row>
    <row r="12" spans="1:15" ht="22" x14ac:dyDescent="0.3">
      <c r="A12" s="28" t="s">
        <v>42</v>
      </c>
    </row>
    <row r="13" spans="1:15" x14ac:dyDescent="0.2">
      <c r="A13" s="8" t="s">
        <v>47</v>
      </c>
      <c r="B13" s="9" t="s">
        <v>10</v>
      </c>
      <c r="C13" s="9" t="s">
        <v>43</v>
      </c>
      <c r="D13" s="9" t="s">
        <v>14</v>
      </c>
      <c r="E13" s="9" t="s">
        <v>48</v>
      </c>
      <c r="F13" s="9" t="s">
        <v>15</v>
      </c>
      <c r="G13" s="9" t="s">
        <v>16</v>
      </c>
      <c r="H13" s="9" t="s">
        <v>17</v>
      </c>
      <c r="I13" s="9" t="s">
        <v>49</v>
      </c>
      <c r="J13" s="29"/>
      <c r="K13" s="29"/>
      <c r="L13" s="29"/>
      <c r="M13" s="29"/>
      <c r="N13" s="29"/>
    </row>
    <row r="14" spans="1:15" x14ac:dyDescent="0.2">
      <c r="A14" s="10">
        <v>1</v>
      </c>
      <c r="B14">
        <v>4</v>
      </c>
      <c r="C14">
        <v>122.65</v>
      </c>
      <c r="D14" s="30">
        <v>0.75580000000000003</v>
      </c>
      <c r="E14" s="31">
        <v>1.9097328186035099E-4</v>
      </c>
      <c r="F14" s="30">
        <v>0.74060000000000004</v>
      </c>
      <c r="G14" s="30">
        <v>0.49170000000000003</v>
      </c>
      <c r="I14">
        <v>10</v>
      </c>
    </row>
    <row r="15" spans="1:15" x14ac:dyDescent="0.2">
      <c r="A15" s="10">
        <v>2</v>
      </c>
      <c r="B15">
        <v>11</v>
      </c>
      <c r="C15">
        <v>140.33000000000001</v>
      </c>
      <c r="D15" s="30">
        <v>0.56210000000000004</v>
      </c>
      <c r="E15">
        <v>3.7407875061035102E-4</v>
      </c>
      <c r="F15" s="30">
        <v>0.73799999999999999</v>
      </c>
      <c r="G15" s="30">
        <v>0.70989999999999998</v>
      </c>
      <c r="I15">
        <v>10</v>
      </c>
    </row>
    <row r="16" spans="1:15" x14ac:dyDescent="0.2">
      <c r="A16" s="10">
        <v>3</v>
      </c>
      <c r="B16">
        <v>3</v>
      </c>
      <c r="C16">
        <v>116.12</v>
      </c>
      <c r="D16" s="30">
        <v>0.80710000000000004</v>
      </c>
      <c r="E16">
        <v>1.8095970153808499E-4</v>
      </c>
      <c r="F16" s="30">
        <v>0.67500000000000004</v>
      </c>
      <c r="G16" s="30">
        <v>0.48849999999999999</v>
      </c>
      <c r="I16">
        <v>11</v>
      </c>
    </row>
    <row r="17" spans="1:14" x14ac:dyDescent="0.2">
      <c r="A17" s="10">
        <v>4</v>
      </c>
      <c r="B17">
        <v>4</v>
      </c>
      <c r="C17">
        <v>90.8</v>
      </c>
      <c r="D17" s="30">
        <v>0.76090000000000002</v>
      </c>
      <c r="E17">
        <v>1.9502639770507799E-4</v>
      </c>
      <c r="F17" s="30">
        <v>0.65110000000000001</v>
      </c>
      <c r="G17" s="30">
        <v>0.52749999999999997</v>
      </c>
      <c r="I17">
        <v>9</v>
      </c>
    </row>
    <row r="18" spans="1:14" x14ac:dyDescent="0.2">
      <c r="A18" s="10">
        <v>5</v>
      </c>
      <c r="B18">
        <v>1</v>
      </c>
      <c r="C18">
        <v>99.63</v>
      </c>
      <c r="D18" s="30">
        <v>0.90690000000000004</v>
      </c>
      <c r="E18" s="32">
        <v>1.8310546875E-4</v>
      </c>
      <c r="F18" s="30">
        <v>0.66169999999999995</v>
      </c>
      <c r="G18" s="30">
        <v>0.48070000000000002</v>
      </c>
      <c r="I18">
        <v>10</v>
      </c>
    </row>
    <row r="19" spans="1:14" x14ac:dyDescent="0.2">
      <c r="A19" s="10">
        <v>6</v>
      </c>
      <c r="B19" s="11">
        <v>4</v>
      </c>
      <c r="C19">
        <v>138.71</v>
      </c>
      <c r="D19" s="30">
        <v>0.74750000000000005</v>
      </c>
      <c r="E19">
        <v>2.8109550476074202E-4</v>
      </c>
      <c r="F19" s="30">
        <v>0.6794</v>
      </c>
      <c r="G19" s="30">
        <v>0.55259999999999998</v>
      </c>
      <c r="I19">
        <v>10</v>
      </c>
    </row>
    <row r="20" spans="1:14" x14ac:dyDescent="0.2">
      <c r="A20" s="10">
        <v>7</v>
      </c>
      <c r="B20">
        <v>1</v>
      </c>
      <c r="C20">
        <v>90.02</v>
      </c>
      <c r="D20" s="30">
        <v>0.91390000000000005</v>
      </c>
      <c r="E20">
        <v>1.3017654418945299E-4</v>
      </c>
      <c r="F20" s="30">
        <v>0.63859999999999995</v>
      </c>
      <c r="G20" s="30">
        <v>0.84160000000000001</v>
      </c>
      <c r="I20">
        <v>9</v>
      </c>
    </row>
    <row r="21" spans="1:14" x14ac:dyDescent="0.2">
      <c r="A21" s="10">
        <v>8</v>
      </c>
      <c r="B21">
        <v>12</v>
      </c>
      <c r="C21">
        <v>139.84</v>
      </c>
      <c r="D21" s="30">
        <v>0.53690000000000004</v>
      </c>
      <c r="E21">
        <v>3.6716461181640598E-4</v>
      </c>
      <c r="F21" s="30">
        <v>0.63549999999999995</v>
      </c>
      <c r="G21" s="30">
        <v>0.6381</v>
      </c>
      <c r="I21">
        <v>10</v>
      </c>
    </row>
    <row r="22" spans="1:14" s="41" customFormat="1" x14ac:dyDescent="0.2">
      <c r="A22" s="42">
        <v>9</v>
      </c>
      <c r="B22" s="41">
        <v>6</v>
      </c>
      <c r="C22" s="41">
        <v>156.61000000000001</v>
      </c>
      <c r="D22" s="43">
        <v>0.6613</v>
      </c>
      <c r="E22" s="41">
        <v>3.65972518920898E-4</v>
      </c>
      <c r="F22" s="43">
        <v>0.68859999999999999</v>
      </c>
      <c r="G22" s="43">
        <v>0.55130000000000001</v>
      </c>
      <c r="I22" s="41">
        <v>11</v>
      </c>
    </row>
    <row r="23" spans="1:14" x14ac:dyDescent="0.2">
      <c r="A23" s="10">
        <v>10</v>
      </c>
      <c r="B23">
        <v>4</v>
      </c>
      <c r="C23">
        <v>136.12</v>
      </c>
      <c r="D23" s="30">
        <v>0.77039999999999997</v>
      </c>
      <c r="E23">
        <v>2.47955322265625E-4</v>
      </c>
      <c r="F23" s="30">
        <v>0.6593</v>
      </c>
      <c r="G23" s="30">
        <v>0.62409999999999999</v>
      </c>
      <c r="I23">
        <v>11</v>
      </c>
    </row>
    <row r="25" spans="1:14" x14ac:dyDescent="0.2">
      <c r="A25" s="12" t="s">
        <v>18</v>
      </c>
      <c r="B25" s="12">
        <f>AVERAGE(B14:B23)</f>
        <v>5</v>
      </c>
      <c r="C25" s="3">
        <f>AVERAGE(C14:C23)</f>
        <v>123.083</v>
      </c>
      <c r="D25" s="33">
        <f t="shared" ref="D25:I25" si="0">AVERAGE(D14:D23)</f>
        <v>0.74228000000000005</v>
      </c>
      <c r="E25" s="12">
        <f t="shared" si="0"/>
        <v>2.5165081024169889E-4</v>
      </c>
      <c r="F25" s="33">
        <f t="shared" si="0"/>
        <v>0.67678000000000005</v>
      </c>
      <c r="G25" s="33">
        <f t="shared" si="0"/>
        <v>0.59060000000000001</v>
      </c>
      <c r="H25" s="12" t="e">
        <f t="shared" si="0"/>
        <v>#DIV/0!</v>
      </c>
      <c r="I25" s="12">
        <f t="shared" si="0"/>
        <v>10.1</v>
      </c>
      <c r="J25" s="34"/>
      <c r="K25" s="34"/>
      <c r="L25" s="34"/>
      <c r="M25" s="34"/>
      <c r="N25" s="34"/>
    </row>
    <row r="26" spans="1:14" x14ac:dyDescent="0.2">
      <c r="B26">
        <f>AVERAGE(B14:B21,B23)</f>
        <v>4.8888888888888893</v>
      </c>
      <c r="C26">
        <f t="shared" ref="C26:I26" si="1">AVERAGE(C14:C21,C23)</f>
        <v>119.35777777777778</v>
      </c>
      <c r="D26">
        <f t="shared" si="1"/>
        <v>0.75127777777777771</v>
      </c>
      <c r="E26">
        <f t="shared" si="1"/>
        <v>2.3894839816623236E-4</v>
      </c>
      <c r="F26">
        <f t="shared" si="1"/>
        <v>0.67546666666666666</v>
      </c>
      <c r="G26">
        <f t="shared" si="1"/>
        <v>0.59496666666666664</v>
      </c>
      <c r="H26" t="e">
        <f t="shared" si="1"/>
        <v>#DIV/0!</v>
      </c>
      <c r="I26">
        <f t="shared" si="1"/>
        <v>10</v>
      </c>
    </row>
    <row r="29" spans="1:14" ht="22" x14ac:dyDescent="0.3">
      <c r="A29" s="28" t="s">
        <v>44</v>
      </c>
      <c r="I29" s="29"/>
      <c r="M29" s="29"/>
      <c r="N29" s="29"/>
    </row>
    <row r="30" spans="1:14" x14ac:dyDescent="0.2">
      <c r="A30" s="8" t="s">
        <v>47</v>
      </c>
      <c r="B30" s="9" t="s">
        <v>10</v>
      </c>
      <c r="C30" s="9" t="s">
        <v>43</v>
      </c>
      <c r="D30" s="9" t="s">
        <v>14</v>
      </c>
      <c r="E30" s="9" t="s">
        <v>48</v>
      </c>
      <c r="F30" s="9" t="s">
        <v>15</v>
      </c>
      <c r="G30" s="9" t="s">
        <v>16</v>
      </c>
      <c r="H30" s="9" t="s">
        <v>17</v>
      </c>
      <c r="I30" s="9" t="s">
        <v>49</v>
      </c>
      <c r="J30" s="13"/>
    </row>
    <row r="31" spans="1:14" x14ac:dyDescent="0.2">
      <c r="A31" s="10">
        <v>1</v>
      </c>
      <c r="B31">
        <v>5</v>
      </c>
      <c r="C31">
        <v>156.82</v>
      </c>
      <c r="D31" s="30">
        <v>0.70399999999999996</v>
      </c>
      <c r="E31">
        <v>2.8491020202636702E-4</v>
      </c>
      <c r="F31" s="30">
        <v>0.78110000000000002</v>
      </c>
      <c r="G31" s="30">
        <v>0.56069999999999998</v>
      </c>
      <c r="I31">
        <v>11</v>
      </c>
      <c r="J31" s="13"/>
    </row>
    <row r="32" spans="1:14" s="41" customFormat="1" x14ac:dyDescent="0.2">
      <c r="A32" s="42">
        <v>2</v>
      </c>
      <c r="B32" s="41">
        <v>9</v>
      </c>
      <c r="C32" s="41">
        <v>176.56</v>
      </c>
      <c r="D32" s="43">
        <v>0.55420000000000003</v>
      </c>
      <c r="E32" s="41">
        <v>3.24010848999023E-4</v>
      </c>
      <c r="F32" s="43">
        <v>0.71860000000000002</v>
      </c>
      <c r="G32" s="43">
        <v>0.66759999999999997</v>
      </c>
      <c r="I32" s="41">
        <v>10</v>
      </c>
    </row>
    <row r="33" spans="1:14" x14ac:dyDescent="0.2">
      <c r="A33" s="10">
        <v>3</v>
      </c>
      <c r="B33">
        <v>5</v>
      </c>
      <c r="C33">
        <v>137.08000000000001</v>
      </c>
      <c r="D33" s="30">
        <v>0.65369999999999995</v>
      </c>
      <c r="E33">
        <v>3.1733512878417898E-4</v>
      </c>
      <c r="F33" s="30">
        <v>0.66920000000000002</v>
      </c>
      <c r="G33" s="30">
        <v>0.41799999999999998</v>
      </c>
      <c r="I33">
        <v>10</v>
      </c>
    </row>
    <row r="34" spans="1:14" x14ac:dyDescent="0.2">
      <c r="A34" s="10">
        <v>4</v>
      </c>
      <c r="B34">
        <v>3</v>
      </c>
      <c r="C34">
        <v>111.71</v>
      </c>
      <c r="D34" s="30">
        <v>0.77990000000000004</v>
      </c>
      <c r="E34">
        <v>2.5081634521484299E-4</v>
      </c>
      <c r="F34" s="30">
        <v>0.69159999999999999</v>
      </c>
      <c r="G34" s="30">
        <v>0.42199999999999999</v>
      </c>
      <c r="I34">
        <v>10</v>
      </c>
    </row>
    <row r="35" spans="1:14" x14ac:dyDescent="0.2">
      <c r="A35" s="10">
        <v>5</v>
      </c>
      <c r="B35">
        <v>3</v>
      </c>
      <c r="C35">
        <v>114.75</v>
      </c>
      <c r="D35" s="30">
        <v>0.83289999999999997</v>
      </c>
      <c r="E35">
        <v>1.9383430480956999E-4</v>
      </c>
      <c r="F35" s="30">
        <v>0.69299999999999995</v>
      </c>
      <c r="G35" s="30">
        <v>0.55969999999999998</v>
      </c>
      <c r="I35">
        <v>10</v>
      </c>
    </row>
    <row r="36" spans="1:14" x14ac:dyDescent="0.2">
      <c r="A36" s="10">
        <v>6</v>
      </c>
      <c r="B36" s="11">
        <v>6</v>
      </c>
      <c r="C36">
        <v>141.74</v>
      </c>
      <c r="D36" s="30">
        <v>0.65490000000000004</v>
      </c>
      <c r="E36">
        <v>2.52962112426757E-4</v>
      </c>
      <c r="F36" s="30">
        <v>0.69550000000000001</v>
      </c>
      <c r="G36" s="30">
        <v>0.64039999999999997</v>
      </c>
      <c r="I36">
        <v>11</v>
      </c>
    </row>
    <row r="37" spans="1:14" x14ac:dyDescent="0.2">
      <c r="A37" s="10">
        <v>7</v>
      </c>
      <c r="B37">
        <v>6</v>
      </c>
      <c r="C37">
        <v>131.69</v>
      </c>
      <c r="D37" s="30">
        <v>0.6482</v>
      </c>
      <c r="E37">
        <v>2.3984909057617101E-4</v>
      </c>
      <c r="F37" s="30">
        <v>0.67769999999999997</v>
      </c>
      <c r="G37" s="30">
        <v>0.56720000000000004</v>
      </c>
      <c r="I37">
        <v>10</v>
      </c>
    </row>
    <row r="38" spans="1:14" x14ac:dyDescent="0.2">
      <c r="A38" s="10">
        <v>8</v>
      </c>
      <c r="B38">
        <v>7</v>
      </c>
      <c r="C38">
        <v>136.61000000000001</v>
      </c>
      <c r="D38" s="30">
        <v>0.57499999999999996</v>
      </c>
      <c r="E38" s="32">
        <v>2.53200531005859E-4</v>
      </c>
      <c r="F38" s="30">
        <v>0.70130000000000003</v>
      </c>
      <c r="G38" s="30">
        <v>0.59870000000000001</v>
      </c>
      <c r="I38">
        <v>10</v>
      </c>
    </row>
    <row r="39" spans="1:14" x14ac:dyDescent="0.2">
      <c r="A39" s="10">
        <v>9</v>
      </c>
      <c r="B39">
        <v>0</v>
      </c>
      <c r="C39">
        <v>116.86</v>
      </c>
      <c r="D39" s="30">
        <v>1</v>
      </c>
      <c r="E39" s="32">
        <v>8.392333984375E-5</v>
      </c>
      <c r="F39" s="30">
        <v>0.6169</v>
      </c>
      <c r="G39" s="30"/>
      <c r="I39">
        <v>10</v>
      </c>
    </row>
    <row r="40" spans="1:14" x14ac:dyDescent="0.2">
      <c r="A40" s="10">
        <v>10</v>
      </c>
      <c r="B40">
        <v>3</v>
      </c>
      <c r="C40">
        <v>99.54</v>
      </c>
      <c r="D40" s="30">
        <v>0.78049999999999997</v>
      </c>
      <c r="E40">
        <v>1.6212463378906201E-4</v>
      </c>
      <c r="F40" s="30">
        <v>0.65129999999999999</v>
      </c>
      <c r="G40" s="30">
        <v>0.55230000000000001</v>
      </c>
      <c r="I40">
        <v>10</v>
      </c>
    </row>
    <row r="41" spans="1:14" x14ac:dyDescent="0.2">
      <c r="J41" s="34"/>
      <c r="K41" s="34"/>
      <c r="L41" s="34"/>
      <c r="M41" s="34"/>
      <c r="N41" s="34"/>
    </row>
    <row r="42" spans="1:14" x14ac:dyDescent="0.2">
      <c r="A42" s="12" t="s">
        <v>18</v>
      </c>
      <c r="B42" s="12">
        <f>AVERAGE(B31:B40)</f>
        <v>4.7</v>
      </c>
      <c r="C42" s="3">
        <f>AVERAGE(C31:C40)</f>
        <v>132.33599999999998</v>
      </c>
      <c r="D42" s="33">
        <f t="shared" ref="D42:I42" si="2">AVERAGE(D31:D40)</f>
        <v>0.71833000000000002</v>
      </c>
      <c r="E42" s="12">
        <f t="shared" si="2"/>
        <v>2.3629665374755808E-4</v>
      </c>
      <c r="F42" s="33">
        <f t="shared" si="2"/>
        <v>0.68962000000000001</v>
      </c>
      <c r="G42" s="33">
        <f t="shared" si="2"/>
        <v>0.55406666666666671</v>
      </c>
      <c r="H42" s="12" t="e">
        <f t="shared" si="2"/>
        <v>#DIV/0!</v>
      </c>
      <c r="I42" s="12">
        <f t="shared" si="2"/>
        <v>10.199999999999999</v>
      </c>
    </row>
    <row r="43" spans="1:14" x14ac:dyDescent="0.2">
      <c r="B43">
        <f>AVERAGE(B31,B33:B40)</f>
        <v>4.2222222222222223</v>
      </c>
      <c r="C43">
        <f t="shared" ref="C43:I43" si="3">AVERAGE(C31,C33:C40)</f>
        <v>127.42222222222222</v>
      </c>
      <c r="D43">
        <f t="shared" si="3"/>
        <v>0.7365666666666667</v>
      </c>
      <c r="E43">
        <f t="shared" si="3"/>
        <v>2.2655063205295086E-4</v>
      </c>
      <c r="F43">
        <f t="shared" si="3"/>
        <v>0.68640000000000001</v>
      </c>
      <c r="G43">
        <f t="shared" si="3"/>
        <v>0.53987499999999999</v>
      </c>
      <c r="H43" t="e">
        <f t="shared" si="3"/>
        <v>#DIV/0!</v>
      </c>
      <c r="I43">
        <f t="shared" si="3"/>
        <v>10.222222222222221</v>
      </c>
    </row>
    <row r="46" spans="1:14" ht="22" x14ac:dyDescent="0.3">
      <c r="A46" s="28" t="s">
        <v>45</v>
      </c>
    </row>
    <row r="47" spans="1:14" x14ac:dyDescent="0.2">
      <c r="A47" s="8" t="s">
        <v>47</v>
      </c>
      <c r="B47" s="9" t="s">
        <v>10</v>
      </c>
      <c r="C47" s="9" t="s">
        <v>43</v>
      </c>
      <c r="D47" s="9" t="s">
        <v>14</v>
      </c>
      <c r="E47" s="9" t="s">
        <v>48</v>
      </c>
      <c r="F47" s="9" t="s">
        <v>15</v>
      </c>
      <c r="G47" s="9" t="s">
        <v>16</v>
      </c>
      <c r="H47" s="9" t="s">
        <v>17</v>
      </c>
      <c r="I47" s="9" t="s">
        <v>49</v>
      </c>
    </row>
    <row r="48" spans="1:14" x14ac:dyDescent="0.2">
      <c r="A48" s="10">
        <v>1</v>
      </c>
      <c r="B48">
        <v>7</v>
      </c>
      <c r="C48">
        <v>136.66999999999999</v>
      </c>
      <c r="D48" s="30">
        <v>0.6583</v>
      </c>
      <c r="E48">
        <v>2.8634071350097602E-4</v>
      </c>
      <c r="F48" s="30">
        <v>0.6754</v>
      </c>
      <c r="G48" s="30">
        <v>0.64959999999999996</v>
      </c>
      <c r="I48">
        <v>11</v>
      </c>
    </row>
    <row r="49" spans="1:9" x14ac:dyDescent="0.2">
      <c r="A49" s="10">
        <v>2</v>
      </c>
      <c r="B49">
        <v>6</v>
      </c>
      <c r="C49">
        <v>140.44</v>
      </c>
      <c r="D49" s="30">
        <v>0.62009999999999998</v>
      </c>
      <c r="E49">
        <v>2.3603439331054601E-4</v>
      </c>
      <c r="F49" s="30">
        <v>0.64759999999999995</v>
      </c>
      <c r="G49" s="30">
        <v>0.54010000000000002</v>
      </c>
      <c r="I49">
        <v>11</v>
      </c>
    </row>
    <row r="50" spans="1:9" x14ac:dyDescent="0.2">
      <c r="A50" s="10">
        <v>3</v>
      </c>
      <c r="B50">
        <v>9</v>
      </c>
      <c r="C50">
        <v>159.66</v>
      </c>
      <c r="D50" s="30">
        <v>0.5353</v>
      </c>
      <c r="E50">
        <v>2.8109550476074202E-4</v>
      </c>
      <c r="F50" s="30">
        <v>0.70720000000000005</v>
      </c>
      <c r="G50" s="30">
        <v>0.64329999999999998</v>
      </c>
      <c r="I50">
        <v>10</v>
      </c>
    </row>
    <row r="51" spans="1:9" x14ac:dyDescent="0.2">
      <c r="A51" s="10">
        <v>4</v>
      </c>
      <c r="B51">
        <v>11</v>
      </c>
      <c r="C51">
        <v>142.19</v>
      </c>
      <c r="D51" s="30">
        <v>0.49780000000000002</v>
      </c>
      <c r="E51">
        <v>3.21865081787109E-4</v>
      </c>
      <c r="F51" s="30">
        <v>0.6714</v>
      </c>
      <c r="G51" s="30">
        <v>0.61950000000000005</v>
      </c>
      <c r="I51">
        <v>10</v>
      </c>
    </row>
    <row r="52" spans="1:9" x14ac:dyDescent="0.2">
      <c r="A52" s="10">
        <v>5</v>
      </c>
      <c r="B52">
        <v>5</v>
      </c>
      <c r="C52">
        <v>133.24</v>
      </c>
      <c r="D52" s="30">
        <v>0.72440000000000004</v>
      </c>
      <c r="E52">
        <v>2.0885467529296799E-4</v>
      </c>
      <c r="F52" s="30">
        <v>0.65510000000000002</v>
      </c>
      <c r="G52" s="30">
        <v>0.55000000000000004</v>
      </c>
      <c r="I52">
        <v>10</v>
      </c>
    </row>
    <row r="53" spans="1:9" s="41" customFormat="1" x14ac:dyDescent="0.2">
      <c r="A53" s="42">
        <v>6</v>
      </c>
      <c r="B53" s="44">
        <v>7</v>
      </c>
      <c r="C53" s="41">
        <v>178.38</v>
      </c>
      <c r="D53" s="43">
        <v>0.5917</v>
      </c>
      <c r="E53" s="46">
        <v>3.6907196044921799E-4</v>
      </c>
      <c r="F53" s="43">
        <v>0.74619999999999997</v>
      </c>
      <c r="G53" s="43">
        <v>0.46</v>
      </c>
      <c r="I53" s="41">
        <v>11</v>
      </c>
    </row>
    <row r="54" spans="1:9" x14ac:dyDescent="0.2">
      <c r="A54" s="10">
        <v>7</v>
      </c>
      <c r="B54">
        <v>5</v>
      </c>
      <c r="C54">
        <v>127.81</v>
      </c>
      <c r="D54" s="30">
        <v>0.69950000000000001</v>
      </c>
      <c r="E54">
        <v>2.25067138671875E-4</v>
      </c>
      <c r="F54" s="30">
        <v>0.72199999999999998</v>
      </c>
      <c r="G54" s="30">
        <v>0.60660000000000003</v>
      </c>
      <c r="I54">
        <v>11</v>
      </c>
    </row>
    <row r="55" spans="1:9" x14ac:dyDescent="0.2">
      <c r="A55" s="10">
        <v>8</v>
      </c>
      <c r="B55">
        <v>4</v>
      </c>
      <c r="C55">
        <v>126.06</v>
      </c>
      <c r="D55" s="30">
        <v>0.75480000000000003</v>
      </c>
      <c r="E55">
        <v>2.11238861083984E-4</v>
      </c>
      <c r="F55" s="30">
        <v>0.72170000000000001</v>
      </c>
      <c r="G55" s="30">
        <v>0.61299999999999999</v>
      </c>
      <c r="I55">
        <v>10</v>
      </c>
    </row>
    <row r="56" spans="1:9" x14ac:dyDescent="0.2">
      <c r="A56" s="10">
        <v>9</v>
      </c>
      <c r="B56">
        <v>6</v>
      </c>
      <c r="C56">
        <v>161.04</v>
      </c>
      <c r="D56" s="30">
        <v>0.62890000000000001</v>
      </c>
      <c r="E56">
        <v>2.6917457580566401E-4</v>
      </c>
      <c r="F56" s="30">
        <v>0.71099999999999997</v>
      </c>
      <c r="G56" s="30">
        <v>0.70599999999999996</v>
      </c>
      <c r="I56">
        <v>10</v>
      </c>
    </row>
    <row r="57" spans="1:9" x14ac:dyDescent="0.2">
      <c r="A57" s="10">
        <v>10</v>
      </c>
      <c r="B57">
        <v>8</v>
      </c>
      <c r="C57">
        <v>147.72999999999999</v>
      </c>
      <c r="D57" s="30">
        <v>0.54510000000000003</v>
      </c>
      <c r="E57">
        <v>2.57015228271484E-4</v>
      </c>
      <c r="F57" s="30">
        <v>0.72660000000000002</v>
      </c>
      <c r="G57" s="30">
        <v>0.6139</v>
      </c>
      <c r="I57">
        <v>10</v>
      </c>
    </row>
    <row r="59" spans="1:9" x14ac:dyDescent="0.2">
      <c r="A59" s="12" t="s">
        <v>18</v>
      </c>
      <c r="B59" s="12">
        <f>AVERAGE(B48:B57)</f>
        <v>6.8</v>
      </c>
      <c r="C59" s="3">
        <f>AVERAGE(C48:C57)</f>
        <v>145.322</v>
      </c>
      <c r="D59" s="33">
        <f t="shared" ref="D59:I59" si="4">AVERAGE(D48:D57)</f>
        <v>0.62558999999999998</v>
      </c>
      <c r="E59" s="12">
        <f t="shared" si="4"/>
        <v>2.6657581329345658E-4</v>
      </c>
      <c r="F59" s="33">
        <f t="shared" si="4"/>
        <v>0.69842000000000004</v>
      </c>
      <c r="G59" s="33">
        <f t="shared" si="4"/>
        <v>0.60019999999999996</v>
      </c>
      <c r="H59" s="12" t="e">
        <f t="shared" si="4"/>
        <v>#DIV/0!</v>
      </c>
      <c r="I59" s="12">
        <f t="shared" si="4"/>
        <v>10.4</v>
      </c>
    </row>
    <row r="60" spans="1:9" x14ac:dyDescent="0.2">
      <c r="B60">
        <f>AVERAGE(B48:B52,B54:B57)</f>
        <v>6.7777777777777777</v>
      </c>
      <c r="C60">
        <f t="shared" ref="C60:I60" si="5">AVERAGE(C48:C52,C54:C57)</f>
        <v>141.64888888888888</v>
      </c>
      <c r="D60">
        <f t="shared" si="5"/>
        <v>0.62935555555555545</v>
      </c>
      <c r="E60">
        <f t="shared" si="5"/>
        <v>2.55187352498372E-4</v>
      </c>
      <c r="F60">
        <f t="shared" si="5"/>
        <v>0.69311111111111112</v>
      </c>
      <c r="G60">
        <f t="shared" si="5"/>
        <v>0.61577777777777787</v>
      </c>
      <c r="H60" t="e">
        <f t="shared" si="5"/>
        <v>#DIV/0!</v>
      </c>
      <c r="I60">
        <f t="shared" si="5"/>
        <v>10.333333333333334</v>
      </c>
    </row>
    <row r="63" spans="1:9" ht="22" x14ac:dyDescent="0.3">
      <c r="A63" s="28" t="s">
        <v>46</v>
      </c>
    </row>
    <row r="64" spans="1:9" x14ac:dyDescent="0.2">
      <c r="A64" s="8" t="s">
        <v>47</v>
      </c>
      <c r="B64" s="9" t="s">
        <v>10</v>
      </c>
      <c r="C64" s="9" t="s">
        <v>43</v>
      </c>
      <c r="D64" s="9" t="s">
        <v>14</v>
      </c>
      <c r="E64" s="9" t="s">
        <v>48</v>
      </c>
      <c r="F64" s="9" t="s">
        <v>15</v>
      </c>
      <c r="G64" s="9" t="s">
        <v>16</v>
      </c>
      <c r="H64" s="9" t="s">
        <v>17</v>
      </c>
      <c r="I64" s="9" t="s">
        <v>49</v>
      </c>
    </row>
    <row r="65" spans="1:9" x14ac:dyDescent="0.2">
      <c r="A65" s="10">
        <v>1</v>
      </c>
      <c r="B65">
        <v>0</v>
      </c>
      <c r="C65">
        <v>94.83</v>
      </c>
      <c r="D65" s="30">
        <v>1</v>
      </c>
      <c r="E65" s="32">
        <v>9.3936920166015598E-5</v>
      </c>
      <c r="F65" s="30">
        <v>0.6089</v>
      </c>
      <c r="G65" s="30"/>
      <c r="I65">
        <v>9</v>
      </c>
    </row>
    <row r="66" spans="1:9" x14ac:dyDescent="0.2">
      <c r="A66" s="10">
        <v>2</v>
      </c>
      <c r="B66">
        <v>4</v>
      </c>
      <c r="C66">
        <v>136.03</v>
      </c>
      <c r="D66" s="30">
        <v>0.69740000000000002</v>
      </c>
      <c r="E66" s="32">
        <v>2.1672248840331999E-4</v>
      </c>
      <c r="F66" s="30">
        <v>0.80389999999999995</v>
      </c>
      <c r="G66" s="30">
        <v>0.60699999999999998</v>
      </c>
      <c r="I66">
        <v>10</v>
      </c>
    </row>
    <row r="67" spans="1:9" x14ac:dyDescent="0.2">
      <c r="A67" s="10">
        <v>3</v>
      </c>
      <c r="B67">
        <v>5</v>
      </c>
      <c r="C67">
        <v>162.57</v>
      </c>
      <c r="D67" s="30">
        <v>0.71450000000000002</v>
      </c>
      <c r="E67">
        <v>2.4986267089843701E-4</v>
      </c>
      <c r="F67" s="30">
        <v>0.69950000000000001</v>
      </c>
      <c r="G67" s="30">
        <v>0.62309999999999999</v>
      </c>
      <c r="I67">
        <v>11</v>
      </c>
    </row>
    <row r="68" spans="1:9" x14ac:dyDescent="0.2">
      <c r="A68" s="10">
        <v>4</v>
      </c>
      <c r="B68">
        <v>10</v>
      </c>
      <c r="C68">
        <v>146.44</v>
      </c>
      <c r="D68" s="30">
        <v>0.46460000000000001</v>
      </c>
      <c r="E68">
        <v>3.2997131347656201E-4</v>
      </c>
      <c r="F68" s="30">
        <v>0.62990000000000002</v>
      </c>
      <c r="G68" s="30">
        <v>0.68899999999999995</v>
      </c>
      <c r="I68">
        <v>10</v>
      </c>
    </row>
    <row r="69" spans="1:9" x14ac:dyDescent="0.2">
      <c r="A69" s="10">
        <v>5</v>
      </c>
      <c r="B69">
        <v>8</v>
      </c>
      <c r="C69">
        <v>162.82</v>
      </c>
      <c r="D69" s="30">
        <v>0.50880000000000003</v>
      </c>
      <c r="E69">
        <v>2.8681755065917898E-4</v>
      </c>
      <c r="F69" s="30">
        <v>0.65139999999999998</v>
      </c>
      <c r="G69" s="30">
        <v>0.63890000000000002</v>
      </c>
      <c r="I69">
        <v>10</v>
      </c>
    </row>
    <row r="70" spans="1:9" x14ac:dyDescent="0.2">
      <c r="A70" s="10">
        <v>6</v>
      </c>
      <c r="B70" s="11">
        <v>1</v>
      </c>
      <c r="C70">
        <v>79.7</v>
      </c>
      <c r="D70" s="30">
        <v>0.90969999999999995</v>
      </c>
      <c r="E70">
        <v>1.3422966003417901E-4</v>
      </c>
      <c r="F70" s="30">
        <v>0.61219999999999997</v>
      </c>
      <c r="G70" s="30">
        <v>0.81220000000000003</v>
      </c>
      <c r="I70">
        <v>10</v>
      </c>
    </row>
    <row r="71" spans="1:9" s="41" customFormat="1" x14ac:dyDescent="0.2">
      <c r="A71" s="42">
        <v>7</v>
      </c>
      <c r="B71" s="41">
        <v>7</v>
      </c>
      <c r="C71" s="41">
        <v>175.73</v>
      </c>
      <c r="D71" s="43">
        <v>0.52100000000000002</v>
      </c>
      <c r="E71" s="41">
        <v>2.6202201843261702E-4</v>
      </c>
      <c r="F71" s="43">
        <v>0.62139999999999995</v>
      </c>
      <c r="G71" s="43">
        <v>0.56889999999999996</v>
      </c>
      <c r="I71" s="41">
        <v>9</v>
      </c>
    </row>
    <row r="72" spans="1:9" x14ac:dyDescent="0.2">
      <c r="A72" s="10">
        <v>8</v>
      </c>
      <c r="B72">
        <v>3</v>
      </c>
      <c r="C72">
        <v>132.71</v>
      </c>
      <c r="D72" s="30">
        <v>0.73380000000000001</v>
      </c>
      <c r="E72">
        <v>2.25067138671875E-4</v>
      </c>
      <c r="F72" s="30">
        <v>0.72199999999999998</v>
      </c>
      <c r="G72" s="30">
        <v>0.60660000000000003</v>
      </c>
      <c r="I72">
        <v>11</v>
      </c>
    </row>
    <row r="73" spans="1:9" x14ac:dyDescent="0.2">
      <c r="A73" s="10">
        <v>9</v>
      </c>
      <c r="B73">
        <v>4</v>
      </c>
      <c r="C73">
        <v>126.06</v>
      </c>
      <c r="D73" s="30">
        <v>0.75480000000000003</v>
      </c>
      <c r="E73">
        <v>2.11238861083984E-4</v>
      </c>
      <c r="F73" s="30">
        <v>0.72170000000000001</v>
      </c>
      <c r="G73" s="30">
        <v>0.61299999999999999</v>
      </c>
      <c r="I73">
        <v>10</v>
      </c>
    </row>
    <row r="74" spans="1:9" x14ac:dyDescent="0.2">
      <c r="A74" s="10">
        <v>10</v>
      </c>
      <c r="B74">
        <v>6</v>
      </c>
      <c r="C74">
        <v>161.04</v>
      </c>
      <c r="D74" s="30">
        <v>0.62890000000000001</v>
      </c>
      <c r="E74">
        <v>2.6917457580566401E-4</v>
      </c>
      <c r="F74" s="30">
        <v>0.71099999999999997</v>
      </c>
      <c r="G74" s="30">
        <v>0.70599999999999996</v>
      </c>
      <c r="I74">
        <v>10</v>
      </c>
    </row>
    <row r="76" spans="1:9" x14ac:dyDescent="0.2">
      <c r="A76" s="12" t="s">
        <v>18</v>
      </c>
      <c r="B76" s="12">
        <f>AVERAGE(B65:B74)</f>
        <v>4.8</v>
      </c>
      <c r="C76" s="3">
        <f>AVERAGE(C65:C74)</f>
        <v>137.79300000000001</v>
      </c>
      <c r="D76" s="33">
        <f t="shared" ref="D76:I76" si="6">AVERAGE(D65:D74)</f>
        <v>0.69334999999999991</v>
      </c>
      <c r="E76" s="12">
        <f t="shared" si="6"/>
        <v>2.2790431976318329E-4</v>
      </c>
      <c r="F76" s="33">
        <f t="shared" si="6"/>
        <v>0.67819000000000007</v>
      </c>
      <c r="G76" s="33">
        <f t="shared" si="6"/>
        <v>0.65163333333333329</v>
      </c>
      <c r="H76" s="12" t="e">
        <f t="shared" si="6"/>
        <v>#DIV/0!</v>
      </c>
      <c r="I76" s="12">
        <f t="shared" si="6"/>
        <v>10</v>
      </c>
    </row>
    <row r="77" spans="1:9" x14ac:dyDescent="0.2">
      <c r="B77">
        <f>AVERAGE(B65:B70,B72:B74)</f>
        <v>4.5555555555555554</v>
      </c>
      <c r="C77">
        <f t="shared" ref="C77:I77" si="7">AVERAGE(C65:C70,C72:C74)</f>
        <v>133.57777777777778</v>
      </c>
      <c r="D77">
        <f t="shared" si="7"/>
        <v>0.71250000000000002</v>
      </c>
      <c r="E77">
        <f t="shared" si="7"/>
        <v>2.2411346435546842E-4</v>
      </c>
      <c r="F77">
        <f t="shared" si="7"/>
        <v>0.68450000000000011</v>
      </c>
      <c r="G77">
        <f t="shared" si="7"/>
        <v>0.66197499999999998</v>
      </c>
      <c r="H77" t="e">
        <f t="shared" si="7"/>
        <v>#DIV/0!</v>
      </c>
      <c r="I77">
        <f t="shared" si="7"/>
        <v>10.111111111111111</v>
      </c>
    </row>
  </sheetData>
  <conditionalFormatting sqref="C14:C23">
    <cfRule type="cellIs" dxfId="15" priority="7" operator="lessThan">
      <formula>78.97</formula>
    </cfRule>
    <cfRule type="cellIs" dxfId="14" priority="8" operator="equal">
      <formula>78.97</formula>
    </cfRule>
  </conditionalFormatting>
  <conditionalFormatting sqref="C31:C40">
    <cfRule type="cellIs" dxfId="13" priority="1" operator="equal">
      <formula>78.97</formula>
    </cfRule>
    <cfRule type="cellIs" dxfId="12" priority="6" operator="lessThan">
      <formula>78.97</formula>
    </cfRule>
  </conditionalFormatting>
  <conditionalFormatting sqref="C48:C57">
    <cfRule type="cellIs" dxfId="11" priority="2" operator="equal">
      <formula>78.97</formula>
    </cfRule>
    <cfRule type="cellIs" dxfId="10" priority="5" operator="lessThan">
      <formula>78.97</formula>
    </cfRule>
  </conditionalFormatting>
  <conditionalFormatting sqref="C65:C74">
    <cfRule type="cellIs" dxfId="9" priority="3" operator="equal">
      <formula>78.97</formula>
    </cfRule>
    <cfRule type="cellIs" dxfId="8" priority="4" operator="lessThan">
      <formula>78.97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1B72-2E15-BF4F-BF23-9F0DAF9C0703}">
  <dimension ref="A1:O77"/>
  <sheetViews>
    <sheetView topLeftCell="A43" zoomScale="82" workbookViewId="0">
      <selection activeCell="C19" sqref="C19"/>
    </sheetView>
  </sheetViews>
  <sheetFormatPr baseColWidth="10" defaultRowHeight="16" x14ac:dyDescent="0.2"/>
  <cols>
    <col min="1" max="1" width="17.33203125" bestFit="1" customWidth="1"/>
    <col min="2" max="2" width="11" bestFit="1" customWidth="1"/>
    <col min="3" max="3" width="9.5" bestFit="1" customWidth="1"/>
    <col min="4" max="4" width="9" bestFit="1" customWidth="1"/>
    <col min="5" max="5" width="14.83203125" bestFit="1" customWidth="1"/>
    <col min="6" max="6" width="9.1640625" bestFit="1" customWidth="1"/>
    <col min="7" max="8" width="7.6640625" bestFit="1" customWidth="1"/>
    <col min="9" max="9" width="10.6640625" bestFit="1" customWidth="1"/>
  </cols>
  <sheetData>
    <row r="1" spans="1:15" x14ac:dyDescent="0.2">
      <c r="B1" s="10"/>
      <c r="C1" s="10"/>
      <c r="D1" s="10"/>
      <c r="E1" s="10"/>
      <c r="F1" s="10"/>
      <c r="G1" s="10"/>
      <c r="H1" s="10"/>
      <c r="I1" s="10"/>
      <c r="J1" s="10"/>
      <c r="K1" s="35"/>
      <c r="L1" s="10"/>
      <c r="M1" s="10"/>
      <c r="O1" s="36"/>
    </row>
    <row r="2" spans="1:15" x14ac:dyDescent="0.2">
      <c r="A2" s="37"/>
      <c r="B2" s="38"/>
      <c r="O2" s="35"/>
    </row>
    <row r="3" spans="1:15" x14ac:dyDescent="0.2">
      <c r="A3" s="37"/>
      <c r="B3" s="38"/>
    </row>
    <row r="4" spans="1:15" x14ac:dyDescent="0.2">
      <c r="B4" s="38"/>
    </row>
    <row r="5" spans="1:15" x14ac:dyDescent="0.2">
      <c r="B5" s="38"/>
    </row>
    <row r="6" spans="1:15" x14ac:dyDescent="0.2">
      <c r="O6" s="27"/>
    </row>
    <row r="7" spans="1:15" x14ac:dyDescent="0.2">
      <c r="O7" s="27"/>
    </row>
    <row r="12" spans="1:15" ht="22" x14ac:dyDescent="0.3">
      <c r="A12" s="28" t="s">
        <v>42</v>
      </c>
    </row>
    <row r="13" spans="1:15" x14ac:dyDescent="0.2">
      <c r="A13" s="8" t="s">
        <v>47</v>
      </c>
      <c r="B13" s="9" t="s">
        <v>10</v>
      </c>
      <c r="C13" s="9" t="s">
        <v>43</v>
      </c>
      <c r="D13" s="9" t="s">
        <v>14</v>
      </c>
      <c r="E13" s="9" t="s">
        <v>48</v>
      </c>
      <c r="F13" s="9" t="s">
        <v>15</v>
      </c>
      <c r="G13" s="9" t="s">
        <v>16</v>
      </c>
      <c r="H13" s="9" t="s">
        <v>17</v>
      </c>
      <c r="I13" s="9" t="s">
        <v>49</v>
      </c>
      <c r="J13" s="29"/>
      <c r="K13" s="29"/>
      <c r="L13" s="29"/>
      <c r="M13" s="29"/>
      <c r="N13" s="29"/>
    </row>
    <row r="14" spans="1:15" x14ac:dyDescent="0.2">
      <c r="A14" s="10">
        <v>1</v>
      </c>
      <c r="B14">
        <v>0</v>
      </c>
      <c r="C14">
        <v>129.53</v>
      </c>
      <c r="D14" s="30">
        <v>1</v>
      </c>
      <c r="E14" s="31">
        <v>1.13725662231445E-4</v>
      </c>
      <c r="F14" s="30">
        <v>0.58940000000000003</v>
      </c>
      <c r="G14" s="30"/>
      <c r="I14">
        <v>13</v>
      </c>
    </row>
    <row r="15" spans="1:15" x14ac:dyDescent="0.2">
      <c r="A15" s="10">
        <v>2</v>
      </c>
      <c r="B15">
        <v>2</v>
      </c>
      <c r="C15">
        <v>126.18</v>
      </c>
      <c r="D15" s="30">
        <v>0.86899999999999999</v>
      </c>
      <c r="E15">
        <v>1.6880035400390601E-4</v>
      </c>
      <c r="F15" s="30">
        <v>0.60470000000000002</v>
      </c>
      <c r="G15" s="30">
        <v>0.50700000000000001</v>
      </c>
      <c r="I15">
        <v>12</v>
      </c>
    </row>
    <row r="16" spans="1:15" x14ac:dyDescent="0.2">
      <c r="A16" s="10">
        <v>3</v>
      </c>
      <c r="B16">
        <v>3</v>
      </c>
      <c r="C16">
        <v>136.16</v>
      </c>
      <c r="D16" s="30">
        <v>0.85260000000000002</v>
      </c>
      <c r="E16">
        <v>2.0527839660644499E-4</v>
      </c>
      <c r="F16" s="30">
        <v>0.64670000000000005</v>
      </c>
      <c r="G16" s="30">
        <v>0.50290000000000001</v>
      </c>
      <c r="I16">
        <v>13</v>
      </c>
    </row>
    <row r="17" spans="1:14" ht="17" x14ac:dyDescent="0.2">
      <c r="A17" s="10">
        <v>4</v>
      </c>
      <c r="B17">
        <v>6</v>
      </c>
      <c r="C17">
        <v>182.86</v>
      </c>
      <c r="D17" s="30">
        <v>0.6865</v>
      </c>
      <c r="E17" s="39">
        <v>2.5606155395507802E-4</v>
      </c>
      <c r="F17" s="30">
        <v>0.68200000000000005</v>
      </c>
      <c r="G17" s="30">
        <v>0.49930000000000002</v>
      </c>
      <c r="I17">
        <v>13</v>
      </c>
    </row>
    <row r="18" spans="1:14" x14ac:dyDescent="0.2">
      <c r="A18" s="10">
        <v>5</v>
      </c>
      <c r="B18">
        <v>5</v>
      </c>
      <c r="C18">
        <v>171.76</v>
      </c>
      <c r="D18" s="30">
        <v>0.72609999999999997</v>
      </c>
      <c r="E18" s="32">
        <v>2.4104118347167901E-4</v>
      </c>
      <c r="F18" s="30">
        <v>0.6714</v>
      </c>
      <c r="G18" s="30">
        <v>0.50309999999999999</v>
      </c>
      <c r="I18">
        <v>11</v>
      </c>
    </row>
    <row r="19" spans="1:14" x14ac:dyDescent="0.2">
      <c r="A19" s="10">
        <v>6</v>
      </c>
      <c r="B19" s="11">
        <v>14</v>
      </c>
      <c r="C19">
        <v>184.68</v>
      </c>
      <c r="D19" s="30">
        <v>0.56379999999999997</v>
      </c>
      <c r="E19">
        <v>4.05550003051757E-4</v>
      </c>
      <c r="F19" s="30">
        <v>0.69830000000000003</v>
      </c>
      <c r="G19" s="30">
        <v>0.64319999999999999</v>
      </c>
      <c r="I19">
        <v>13</v>
      </c>
    </row>
    <row r="20" spans="1:14" x14ac:dyDescent="0.2">
      <c r="A20" s="10">
        <v>7</v>
      </c>
      <c r="B20">
        <v>7</v>
      </c>
      <c r="C20">
        <v>189.57</v>
      </c>
      <c r="D20" s="30">
        <v>0.65569999999999995</v>
      </c>
      <c r="E20">
        <v>3.0422210693359299E-4</v>
      </c>
      <c r="F20" s="30">
        <v>0.69830000000000003</v>
      </c>
      <c r="G20" s="30">
        <v>0.72770000000000001</v>
      </c>
      <c r="I20">
        <v>12</v>
      </c>
    </row>
    <row r="21" spans="1:14" x14ac:dyDescent="0.2">
      <c r="A21" s="10">
        <v>8</v>
      </c>
      <c r="B21">
        <v>6</v>
      </c>
      <c r="C21">
        <v>133.76</v>
      </c>
      <c r="D21" s="30">
        <v>0.67549999999999999</v>
      </c>
      <c r="E21">
        <v>2.5606155395507802E-4</v>
      </c>
      <c r="F21" s="30">
        <v>0.67249999999999999</v>
      </c>
      <c r="G21" s="30">
        <v>0.59889999999999999</v>
      </c>
      <c r="I21">
        <v>12</v>
      </c>
    </row>
    <row r="22" spans="1:14" s="41" customFormat="1" x14ac:dyDescent="0.2">
      <c r="A22" s="42">
        <v>9</v>
      </c>
      <c r="B22" s="41">
        <v>11</v>
      </c>
      <c r="C22" s="41">
        <v>239.32</v>
      </c>
      <c r="D22" s="43">
        <v>0.58979999999999999</v>
      </c>
      <c r="E22" s="41">
        <v>3.4785270690917898E-4</v>
      </c>
      <c r="F22" s="43">
        <v>0.73499999999999999</v>
      </c>
      <c r="G22" s="43">
        <v>0.52859999999999996</v>
      </c>
      <c r="I22" s="41">
        <v>13</v>
      </c>
    </row>
    <row r="23" spans="1:14" x14ac:dyDescent="0.2">
      <c r="A23" s="10">
        <v>10</v>
      </c>
      <c r="B23">
        <v>2</v>
      </c>
      <c r="C23">
        <v>117.79</v>
      </c>
      <c r="D23" s="30">
        <v>0.89119999999999999</v>
      </c>
      <c r="E23">
        <v>1.64031982421875E-4</v>
      </c>
      <c r="F23" s="30">
        <v>0.71</v>
      </c>
      <c r="G23" s="30">
        <v>0.52759999999999996</v>
      </c>
      <c r="I23">
        <v>13</v>
      </c>
    </row>
    <row r="25" spans="1:14" x14ac:dyDescent="0.2">
      <c r="A25" s="12" t="s">
        <v>18</v>
      </c>
      <c r="B25" s="12">
        <f>AVERAGE(B14:B23)</f>
        <v>5.6</v>
      </c>
      <c r="C25" s="3">
        <f>AVERAGE(C14:C23)</f>
        <v>161.161</v>
      </c>
      <c r="D25" s="33">
        <f t="shared" ref="D25:I25" si="0">AVERAGE(D14:D23)</f>
        <v>0.75101999999999991</v>
      </c>
      <c r="E25" s="12">
        <f t="shared" si="0"/>
        <v>2.4626255035400349E-4</v>
      </c>
      <c r="F25" s="33">
        <f t="shared" si="0"/>
        <v>0.67083000000000015</v>
      </c>
      <c r="G25" s="33">
        <f t="shared" si="0"/>
        <v>0.55981111111111104</v>
      </c>
      <c r="H25" s="12" t="e">
        <f t="shared" si="0"/>
        <v>#DIV/0!</v>
      </c>
      <c r="I25" s="12">
        <f t="shared" si="0"/>
        <v>12.5</v>
      </c>
      <c r="J25" s="34"/>
      <c r="K25" s="34"/>
      <c r="L25" s="34"/>
      <c r="M25" s="34"/>
      <c r="N25" s="34"/>
    </row>
    <row r="26" spans="1:14" x14ac:dyDescent="0.2">
      <c r="B26">
        <f>AVERAGE(B14:B21,B23)</f>
        <v>5</v>
      </c>
      <c r="C26">
        <f t="shared" ref="C26:H26" si="1">AVERAGE(C14:C21,C23)</f>
        <v>152.47666666666666</v>
      </c>
      <c r="D26">
        <f t="shared" si="1"/>
        <v>0.76893333333333325</v>
      </c>
      <c r="E26">
        <f t="shared" si="1"/>
        <v>2.3497475518120621E-4</v>
      </c>
      <c r="F26">
        <f t="shared" si="1"/>
        <v>0.66370000000000007</v>
      </c>
      <c r="G26">
        <f t="shared" si="1"/>
        <v>0.56371249999999995</v>
      </c>
      <c r="H26" t="e">
        <f t="shared" si="1"/>
        <v>#DIV/0!</v>
      </c>
      <c r="I26">
        <f>AVERAGE(I14:I21,I23)</f>
        <v>12.444444444444445</v>
      </c>
    </row>
    <row r="29" spans="1:14" ht="22" x14ac:dyDescent="0.3">
      <c r="A29" s="28" t="s">
        <v>44</v>
      </c>
      <c r="I29" s="29"/>
      <c r="M29" s="29"/>
      <c r="N29" s="29"/>
    </row>
    <row r="30" spans="1:14" x14ac:dyDescent="0.2">
      <c r="A30" s="8" t="s">
        <v>47</v>
      </c>
      <c r="B30" s="9" t="s">
        <v>10</v>
      </c>
      <c r="C30" s="9" t="s">
        <v>43</v>
      </c>
      <c r="D30" s="9" t="s">
        <v>14</v>
      </c>
      <c r="E30" s="9" t="s">
        <v>48</v>
      </c>
      <c r="F30" s="9" t="s">
        <v>15</v>
      </c>
      <c r="G30" s="9" t="s">
        <v>16</v>
      </c>
      <c r="H30" s="9" t="s">
        <v>17</v>
      </c>
      <c r="I30" s="9" t="s">
        <v>49</v>
      </c>
      <c r="J30" s="13"/>
    </row>
    <row r="31" spans="1:14" x14ac:dyDescent="0.2">
      <c r="A31" s="10">
        <v>1</v>
      </c>
      <c r="B31">
        <v>5</v>
      </c>
      <c r="C31">
        <v>149.26</v>
      </c>
      <c r="D31" s="30">
        <v>0.69820000000000004</v>
      </c>
      <c r="E31">
        <v>3.4403800964355398E-4</v>
      </c>
      <c r="F31" s="30">
        <v>0.6895</v>
      </c>
      <c r="G31" s="30">
        <v>0.57999999999999996</v>
      </c>
      <c r="I31">
        <v>12</v>
      </c>
      <c r="J31" s="13"/>
    </row>
    <row r="32" spans="1:14" x14ac:dyDescent="0.2">
      <c r="A32" s="10">
        <v>2</v>
      </c>
      <c r="B32">
        <v>4</v>
      </c>
      <c r="C32">
        <v>133.56</v>
      </c>
      <c r="D32" s="30">
        <v>0.76939999999999997</v>
      </c>
      <c r="E32">
        <v>1.9097328186035099E-4</v>
      </c>
      <c r="F32" s="30">
        <v>0.69010000000000005</v>
      </c>
      <c r="G32" s="30">
        <v>0.52759999999999996</v>
      </c>
      <c r="I32">
        <v>12</v>
      </c>
    </row>
    <row r="33" spans="1:14" x14ac:dyDescent="0.2">
      <c r="A33" s="10">
        <v>3</v>
      </c>
      <c r="B33">
        <v>2</v>
      </c>
      <c r="C33">
        <v>149.96</v>
      </c>
      <c r="D33" s="30">
        <v>0.86650000000000005</v>
      </c>
      <c r="E33">
        <v>1.7404556274414E-4</v>
      </c>
      <c r="F33" s="30">
        <v>0.6542</v>
      </c>
      <c r="G33" s="30">
        <v>0.4662</v>
      </c>
      <c r="I33">
        <v>13</v>
      </c>
    </row>
    <row r="34" spans="1:14" x14ac:dyDescent="0.2">
      <c r="A34" s="10">
        <v>4</v>
      </c>
      <c r="B34">
        <v>7</v>
      </c>
      <c r="C34">
        <v>159.91</v>
      </c>
      <c r="D34" s="30">
        <v>0.72260000000000002</v>
      </c>
      <c r="E34">
        <v>2.91109085083007E-4</v>
      </c>
      <c r="F34" s="30">
        <v>0.66549999999999998</v>
      </c>
      <c r="G34" s="30">
        <v>0.56869999999999998</v>
      </c>
      <c r="I34">
        <v>13</v>
      </c>
    </row>
    <row r="35" spans="1:14" x14ac:dyDescent="0.2">
      <c r="A35" s="10">
        <v>5</v>
      </c>
      <c r="B35">
        <v>4</v>
      </c>
      <c r="C35">
        <v>97.74</v>
      </c>
      <c r="D35" s="30">
        <v>0.74970000000000003</v>
      </c>
      <c r="E35">
        <v>1.6808509826660099E-4</v>
      </c>
      <c r="F35" s="30">
        <v>0.69030000000000002</v>
      </c>
      <c r="G35" s="30">
        <v>0.4783</v>
      </c>
      <c r="I35">
        <v>11</v>
      </c>
    </row>
    <row r="36" spans="1:14" s="41" customFormat="1" x14ac:dyDescent="0.2">
      <c r="A36" s="42">
        <v>6</v>
      </c>
      <c r="B36" s="44">
        <v>14</v>
      </c>
      <c r="C36" s="41">
        <v>245.01</v>
      </c>
      <c r="D36" s="43">
        <v>0.48649999999999999</v>
      </c>
      <c r="E36" s="41">
        <v>4.0507316589355398E-4</v>
      </c>
      <c r="F36" s="43">
        <v>0.70809999999999995</v>
      </c>
      <c r="G36" s="43">
        <v>0.58220000000000005</v>
      </c>
      <c r="I36" s="41">
        <v>12</v>
      </c>
    </row>
    <row r="37" spans="1:14" x14ac:dyDescent="0.2">
      <c r="A37" s="10">
        <v>7</v>
      </c>
      <c r="B37">
        <v>11</v>
      </c>
      <c r="C37">
        <v>175.04</v>
      </c>
      <c r="D37" s="30">
        <v>0.54859999999999998</v>
      </c>
      <c r="E37">
        <v>3.2877922058105398E-4</v>
      </c>
      <c r="F37" s="30">
        <v>0.67649999999999999</v>
      </c>
      <c r="G37" s="30">
        <v>0.56889999999999996</v>
      </c>
      <c r="I37">
        <v>13</v>
      </c>
    </row>
    <row r="38" spans="1:14" x14ac:dyDescent="0.2">
      <c r="A38" s="10">
        <v>8</v>
      </c>
      <c r="B38">
        <v>6</v>
      </c>
      <c r="C38">
        <v>184.39</v>
      </c>
      <c r="D38" s="30">
        <v>0.68610000000000004</v>
      </c>
      <c r="E38" s="32">
        <v>2.72035598754882E-4</v>
      </c>
      <c r="F38" s="30">
        <v>0.73280000000000001</v>
      </c>
      <c r="G38" s="30">
        <v>0.61850000000000005</v>
      </c>
      <c r="I38">
        <v>13</v>
      </c>
    </row>
    <row r="39" spans="1:14" x14ac:dyDescent="0.2">
      <c r="A39" s="10">
        <v>9</v>
      </c>
      <c r="B39">
        <v>1</v>
      </c>
      <c r="C39">
        <v>126.17</v>
      </c>
      <c r="D39" s="30">
        <v>0.93079999999999996</v>
      </c>
      <c r="E39">
        <v>1.5807151794433499E-4</v>
      </c>
      <c r="F39" s="30">
        <v>0.63319999999999999</v>
      </c>
      <c r="G39" s="30">
        <v>0.26019999999999999</v>
      </c>
      <c r="I39">
        <v>13</v>
      </c>
    </row>
    <row r="40" spans="1:14" x14ac:dyDescent="0.2">
      <c r="A40" s="10">
        <v>10</v>
      </c>
      <c r="B40">
        <v>6</v>
      </c>
      <c r="C40">
        <v>130.44</v>
      </c>
      <c r="D40" s="30">
        <v>0.66149999999999998</v>
      </c>
      <c r="E40">
        <v>2.0599365234375E-4</v>
      </c>
      <c r="F40" s="30">
        <v>0.71779999999999999</v>
      </c>
      <c r="G40" s="30">
        <v>0.45350000000000001</v>
      </c>
      <c r="I40">
        <v>11</v>
      </c>
    </row>
    <row r="41" spans="1:14" x14ac:dyDescent="0.2">
      <c r="J41" s="34"/>
      <c r="K41" s="34"/>
      <c r="L41" s="34"/>
      <c r="M41" s="34"/>
      <c r="N41" s="34"/>
    </row>
    <row r="42" spans="1:14" x14ac:dyDescent="0.2">
      <c r="A42" s="12" t="s">
        <v>18</v>
      </c>
      <c r="B42" s="12">
        <f>AVERAGE(B31:B40)</f>
        <v>6</v>
      </c>
      <c r="C42" s="3">
        <f>AVERAGE(C31:C40)</f>
        <v>155.148</v>
      </c>
      <c r="D42" s="33">
        <f t="shared" ref="D42:I42" si="2">AVERAGE(D31:D40)</f>
        <v>0.7119899999999999</v>
      </c>
      <c r="E42" s="12">
        <f t="shared" si="2"/>
        <v>2.5382041931152277E-4</v>
      </c>
      <c r="F42" s="33">
        <f t="shared" si="2"/>
        <v>0.68580000000000008</v>
      </c>
      <c r="G42" s="33">
        <f t="shared" si="2"/>
        <v>0.51041000000000003</v>
      </c>
      <c r="H42" s="12" t="e">
        <f t="shared" si="2"/>
        <v>#DIV/0!</v>
      </c>
      <c r="I42" s="12">
        <f t="shared" si="2"/>
        <v>12.3</v>
      </c>
    </row>
    <row r="43" spans="1:14" x14ac:dyDescent="0.2">
      <c r="B43">
        <f>AVERAGE(B31:B35,B37:B40)</f>
        <v>5.1111111111111107</v>
      </c>
      <c r="C43">
        <f t="shared" ref="C43:I43" si="3">AVERAGE(C31:C35,C37:C40)</f>
        <v>145.16333333333333</v>
      </c>
      <c r="D43">
        <f t="shared" si="3"/>
        <v>0.73704444444444439</v>
      </c>
      <c r="E43">
        <f t="shared" si="3"/>
        <v>2.3701455858018595E-4</v>
      </c>
      <c r="F43">
        <f t="shared" si="3"/>
        <v>0.68332222222222228</v>
      </c>
      <c r="G43">
        <f t="shared" si="3"/>
        <v>0.5024333333333334</v>
      </c>
      <c r="H43" t="e">
        <f t="shared" si="3"/>
        <v>#DIV/0!</v>
      </c>
      <c r="I43">
        <f t="shared" si="3"/>
        <v>12.333333333333334</v>
      </c>
    </row>
    <row r="46" spans="1:14" ht="22" x14ac:dyDescent="0.3">
      <c r="A46" s="28" t="s">
        <v>45</v>
      </c>
    </row>
    <row r="47" spans="1:14" x14ac:dyDescent="0.2">
      <c r="A47" s="8" t="s">
        <v>47</v>
      </c>
      <c r="B47" s="9" t="s">
        <v>10</v>
      </c>
      <c r="C47" s="9" t="s">
        <v>43</v>
      </c>
      <c r="D47" s="9" t="s">
        <v>14</v>
      </c>
      <c r="E47" s="9" t="s">
        <v>48</v>
      </c>
      <c r="F47" s="9" t="s">
        <v>15</v>
      </c>
      <c r="G47" s="9" t="s">
        <v>16</v>
      </c>
      <c r="H47" s="9" t="s">
        <v>17</v>
      </c>
      <c r="I47" s="9" t="s">
        <v>49</v>
      </c>
    </row>
    <row r="48" spans="1:14" x14ac:dyDescent="0.2">
      <c r="A48" s="10">
        <v>1</v>
      </c>
      <c r="B48">
        <v>17</v>
      </c>
      <c r="C48">
        <v>253.52</v>
      </c>
      <c r="D48" s="30">
        <v>0.39729999999999999</v>
      </c>
      <c r="E48">
        <v>4.3392181396484299E-4</v>
      </c>
      <c r="F48" s="30">
        <v>0.67930000000000001</v>
      </c>
      <c r="G48" s="30">
        <v>0.55400000000000005</v>
      </c>
      <c r="I48">
        <v>13</v>
      </c>
    </row>
    <row r="49" spans="1:9" x14ac:dyDescent="0.2">
      <c r="A49" s="10">
        <v>2</v>
      </c>
      <c r="B49">
        <v>8</v>
      </c>
      <c r="C49">
        <v>181.14</v>
      </c>
      <c r="D49" s="30">
        <v>0.64810000000000001</v>
      </c>
      <c r="E49">
        <v>3.0303001403808502E-4</v>
      </c>
      <c r="F49" s="30">
        <v>0.69840000000000002</v>
      </c>
      <c r="G49" s="30">
        <v>0.55530000000000002</v>
      </c>
      <c r="I49">
        <v>12</v>
      </c>
    </row>
    <row r="50" spans="1:9" s="41" customFormat="1" x14ac:dyDescent="0.2">
      <c r="A50" s="42">
        <v>3</v>
      </c>
      <c r="B50" s="41">
        <v>12</v>
      </c>
      <c r="C50" s="41">
        <v>270.11</v>
      </c>
      <c r="D50" s="43">
        <v>0.47789999999999999</v>
      </c>
      <c r="E50" s="41">
        <v>3.54766845703125E-4</v>
      </c>
      <c r="F50" s="43">
        <v>0.6895</v>
      </c>
      <c r="G50" s="43">
        <v>0.50849999999999995</v>
      </c>
      <c r="I50" s="41">
        <v>13</v>
      </c>
    </row>
    <row r="51" spans="1:9" x14ac:dyDescent="0.2">
      <c r="A51" s="10">
        <v>4</v>
      </c>
      <c r="B51">
        <v>0</v>
      </c>
      <c r="C51">
        <v>116.31</v>
      </c>
      <c r="D51" s="30">
        <v>1</v>
      </c>
      <c r="E51">
        <v>1.2278556823730401E-4</v>
      </c>
      <c r="F51" s="30">
        <v>0.53300000000000003</v>
      </c>
      <c r="G51" s="30"/>
      <c r="I51">
        <v>11</v>
      </c>
    </row>
    <row r="52" spans="1:9" x14ac:dyDescent="0.2">
      <c r="A52" s="10">
        <v>5</v>
      </c>
      <c r="B52">
        <v>14</v>
      </c>
      <c r="C52">
        <v>195</v>
      </c>
      <c r="D52" s="30">
        <v>0.52439999999999998</v>
      </c>
      <c r="E52">
        <v>4.0006637573242101E-4</v>
      </c>
      <c r="F52" s="30">
        <v>0.71479999999999999</v>
      </c>
      <c r="G52" s="30">
        <v>0.60129999999999995</v>
      </c>
      <c r="I52">
        <v>12</v>
      </c>
    </row>
    <row r="53" spans="1:9" x14ac:dyDescent="0.2">
      <c r="A53" s="10">
        <v>6</v>
      </c>
      <c r="B53" s="11">
        <v>6</v>
      </c>
      <c r="C53">
        <v>148.26</v>
      </c>
      <c r="D53" s="30">
        <v>0.72219999999999995</v>
      </c>
      <c r="E53" s="32">
        <v>2.8395652770996002E-4</v>
      </c>
      <c r="F53" s="30">
        <v>0.6986</v>
      </c>
      <c r="G53" s="30">
        <v>0.49559999999999998</v>
      </c>
      <c r="I53">
        <v>12</v>
      </c>
    </row>
    <row r="54" spans="1:9" x14ac:dyDescent="0.2">
      <c r="A54" s="10">
        <v>7</v>
      </c>
      <c r="B54">
        <v>11</v>
      </c>
      <c r="C54">
        <v>197.34</v>
      </c>
      <c r="D54" s="30">
        <v>0.54720000000000002</v>
      </c>
      <c r="E54">
        <v>3.5285949707031201E-4</v>
      </c>
      <c r="F54" s="30">
        <v>0.71460000000000001</v>
      </c>
      <c r="G54" s="30">
        <v>0.53469999999999995</v>
      </c>
      <c r="I54">
        <v>13</v>
      </c>
    </row>
    <row r="55" spans="1:9" x14ac:dyDescent="0.2">
      <c r="A55" s="10">
        <v>8</v>
      </c>
      <c r="B55">
        <v>10</v>
      </c>
      <c r="C55">
        <v>208.6</v>
      </c>
      <c r="D55" s="30">
        <v>0.55930000000000002</v>
      </c>
      <c r="E55">
        <v>3.7217140197753901E-4</v>
      </c>
      <c r="F55" s="30">
        <v>0.72829999999999995</v>
      </c>
      <c r="G55" s="30">
        <v>0.62490000000000001</v>
      </c>
      <c r="I55">
        <v>13</v>
      </c>
    </row>
    <row r="56" spans="1:9" x14ac:dyDescent="0.2">
      <c r="A56" s="10">
        <v>9</v>
      </c>
      <c r="B56">
        <v>2</v>
      </c>
      <c r="C56">
        <v>120.88</v>
      </c>
      <c r="D56" s="30">
        <v>0.88600000000000001</v>
      </c>
      <c r="E56">
        <v>1.77860260009765E-4</v>
      </c>
      <c r="F56" s="30">
        <v>0.65169999999999995</v>
      </c>
      <c r="G56" s="30">
        <v>0.50439999999999996</v>
      </c>
      <c r="I56">
        <v>12</v>
      </c>
    </row>
    <row r="57" spans="1:9" x14ac:dyDescent="0.2">
      <c r="A57" s="10">
        <v>10</v>
      </c>
      <c r="B57">
        <v>7</v>
      </c>
      <c r="C57">
        <v>133.97</v>
      </c>
      <c r="D57" s="30">
        <v>0.67269999999999996</v>
      </c>
      <c r="E57">
        <v>3.0994415283203098E-4</v>
      </c>
      <c r="F57" s="30">
        <v>0.74099999999999999</v>
      </c>
      <c r="G57" s="30">
        <v>0.57289999999999996</v>
      </c>
      <c r="I57">
        <v>13</v>
      </c>
    </row>
    <row r="59" spans="1:9" x14ac:dyDescent="0.2">
      <c r="A59" s="12" t="s">
        <v>18</v>
      </c>
      <c r="B59" s="12">
        <f>AVERAGE(B48:B57)</f>
        <v>8.6999999999999993</v>
      </c>
      <c r="C59" s="3">
        <f>AVERAGE(C48:C57)</f>
        <v>182.51299999999998</v>
      </c>
      <c r="D59" s="33">
        <f t="shared" ref="D59:I59" si="4">AVERAGE(D48:D57)</f>
        <v>0.64351000000000003</v>
      </c>
      <c r="E59" s="12">
        <f t="shared" si="4"/>
        <v>3.1113624572753852E-4</v>
      </c>
      <c r="F59" s="33">
        <f t="shared" si="4"/>
        <v>0.68491999999999986</v>
      </c>
      <c r="G59" s="33">
        <f t="shared" si="4"/>
        <v>0.55017777777777777</v>
      </c>
      <c r="H59" s="12" t="e">
        <f t="shared" si="4"/>
        <v>#DIV/0!</v>
      </c>
      <c r="I59" s="12">
        <f t="shared" si="4"/>
        <v>12.4</v>
      </c>
    </row>
    <row r="60" spans="1:9" x14ac:dyDescent="0.2">
      <c r="B60">
        <f>AVERAGE(B48:B49,B51:B57)</f>
        <v>8.3333333333333339</v>
      </c>
      <c r="C60">
        <f>AVERAGE(C48:C49,C51:C57)</f>
        <v>172.77999999999997</v>
      </c>
      <c r="D60">
        <f t="shared" ref="D60:I60" si="5">AVERAGE(D48:D49,D51:D57)</f>
        <v>0.66191111111111112</v>
      </c>
      <c r="E60">
        <f t="shared" si="5"/>
        <v>3.0628840128580666E-4</v>
      </c>
      <c r="F60">
        <f t="shared" si="5"/>
        <v>0.68441111111111097</v>
      </c>
      <c r="G60">
        <f t="shared" si="5"/>
        <v>0.55538750000000003</v>
      </c>
      <c r="H60" t="e">
        <f t="shared" si="5"/>
        <v>#DIV/0!</v>
      </c>
      <c r="I60">
        <f t="shared" si="5"/>
        <v>12.333333333333334</v>
      </c>
    </row>
    <row r="63" spans="1:9" ht="22" x14ac:dyDescent="0.3">
      <c r="A63" s="28" t="s">
        <v>46</v>
      </c>
    </row>
    <row r="64" spans="1:9" x14ac:dyDescent="0.2">
      <c r="A64" s="8" t="s">
        <v>47</v>
      </c>
      <c r="B64" s="9" t="s">
        <v>10</v>
      </c>
      <c r="C64" s="9" t="s">
        <v>43</v>
      </c>
      <c r="D64" s="9" t="s">
        <v>14</v>
      </c>
      <c r="E64" s="9" t="s">
        <v>48</v>
      </c>
      <c r="F64" s="9" t="s">
        <v>15</v>
      </c>
      <c r="G64" s="9" t="s">
        <v>16</v>
      </c>
      <c r="H64" s="9" t="s">
        <v>17</v>
      </c>
      <c r="I64" s="9" t="s">
        <v>49</v>
      </c>
    </row>
    <row r="65" spans="1:9" x14ac:dyDescent="0.2">
      <c r="A65" s="10">
        <v>1</v>
      </c>
      <c r="B65">
        <v>8</v>
      </c>
      <c r="C65">
        <v>227.99</v>
      </c>
      <c r="D65" s="30">
        <v>0.55879999999999996</v>
      </c>
      <c r="E65">
        <v>2.9420852661132802E-4</v>
      </c>
      <c r="F65" s="30">
        <v>0.66349999999999998</v>
      </c>
      <c r="G65" s="30">
        <v>0.44969999999999999</v>
      </c>
      <c r="I65">
        <v>12</v>
      </c>
    </row>
    <row r="66" spans="1:9" x14ac:dyDescent="0.2">
      <c r="A66" s="10">
        <v>2</v>
      </c>
      <c r="B66">
        <v>0</v>
      </c>
      <c r="C66">
        <v>105.17</v>
      </c>
      <c r="D66" s="30">
        <v>1</v>
      </c>
      <c r="E66" s="32">
        <v>1.04188919067382E-4</v>
      </c>
      <c r="F66" s="30">
        <v>0.52029999999999998</v>
      </c>
      <c r="G66" s="30"/>
      <c r="I66">
        <v>11</v>
      </c>
    </row>
    <row r="67" spans="1:9" x14ac:dyDescent="0.2">
      <c r="A67" s="10">
        <v>3</v>
      </c>
      <c r="B67">
        <v>3</v>
      </c>
      <c r="C67">
        <v>127.56</v>
      </c>
      <c r="D67" s="30">
        <v>0.80210000000000004</v>
      </c>
      <c r="E67">
        <v>1.9621849060058499E-4</v>
      </c>
      <c r="F67" s="30">
        <v>0.68769999999999998</v>
      </c>
      <c r="G67" s="30">
        <v>0.48010000000000003</v>
      </c>
      <c r="I67">
        <v>12</v>
      </c>
    </row>
    <row r="68" spans="1:9" x14ac:dyDescent="0.2">
      <c r="A68" s="10">
        <v>4</v>
      </c>
      <c r="B68">
        <v>2</v>
      </c>
      <c r="C68">
        <v>127.16</v>
      </c>
      <c r="D68" s="30">
        <v>0.83919999999999995</v>
      </c>
      <c r="E68">
        <v>1.49965286254882E-4</v>
      </c>
      <c r="F68" s="30">
        <v>0.65300000000000002</v>
      </c>
      <c r="G68" s="30">
        <v>0.50639999999999996</v>
      </c>
      <c r="I68">
        <v>12</v>
      </c>
    </row>
    <row r="69" spans="1:9" s="41" customFormat="1" x14ac:dyDescent="0.2">
      <c r="A69" s="42">
        <v>5</v>
      </c>
      <c r="B69" s="41">
        <v>15</v>
      </c>
      <c r="C69" s="41">
        <v>312.64999999999998</v>
      </c>
      <c r="D69" s="43">
        <v>0.4042</v>
      </c>
      <c r="E69" s="41">
        <v>4.27007675170898E-4</v>
      </c>
      <c r="F69" s="43">
        <v>0.74619999999999997</v>
      </c>
      <c r="G69" s="43">
        <v>0.61180000000000001</v>
      </c>
      <c r="I69" s="41">
        <v>12</v>
      </c>
    </row>
    <row r="70" spans="1:9" x14ac:dyDescent="0.2">
      <c r="A70" s="10">
        <v>6</v>
      </c>
      <c r="B70" s="11">
        <v>7</v>
      </c>
      <c r="C70">
        <v>149.72999999999999</v>
      </c>
      <c r="D70" s="30">
        <v>0.6361</v>
      </c>
      <c r="E70">
        <v>2.4890899658203098E-4</v>
      </c>
      <c r="F70" s="30">
        <v>0.72989999999999999</v>
      </c>
      <c r="G70" s="30">
        <v>0.50339999999999996</v>
      </c>
      <c r="I70">
        <v>13</v>
      </c>
    </row>
    <row r="71" spans="1:9" x14ac:dyDescent="0.2">
      <c r="A71" s="10">
        <v>7</v>
      </c>
      <c r="B71">
        <v>0</v>
      </c>
      <c r="C71">
        <v>127.8</v>
      </c>
      <c r="D71" s="30">
        <v>1</v>
      </c>
      <c r="E71" s="32">
        <v>9.7036361694335897E-5</v>
      </c>
      <c r="F71" s="30">
        <v>0.56489999999999996</v>
      </c>
      <c r="G71" s="30"/>
      <c r="I71">
        <v>13</v>
      </c>
    </row>
    <row r="72" spans="1:9" x14ac:dyDescent="0.2">
      <c r="A72" s="10">
        <v>8</v>
      </c>
      <c r="B72">
        <v>11</v>
      </c>
      <c r="C72">
        <v>204.81</v>
      </c>
      <c r="D72" s="30">
        <v>0.56310000000000004</v>
      </c>
      <c r="E72">
        <v>3.8099288940429601E-4</v>
      </c>
      <c r="F72" s="30">
        <v>0.71889999999999998</v>
      </c>
      <c r="G72" s="30">
        <v>0.65569999999999995</v>
      </c>
      <c r="I72">
        <v>13</v>
      </c>
    </row>
    <row r="73" spans="1:9" x14ac:dyDescent="0.2">
      <c r="A73" s="10">
        <v>9</v>
      </c>
      <c r="B73">
        <v>13</v>
      </c>
      <c r="C73">
        <v>192.91</v>
      </c>
      <c r="D73" s="30">
        <v>0.48959999999999998</v>
      </c>
      <c r="E73">
        <v>3.85046005249023E-4</v>
      </c>
      <c r="F73" s="30">
        <v>0.70889999999999997</v>
      </c>
      <c r="G73" s="30">
        <v>0.61260000000000003</v>
      </c>
      <c r="I73">
        <v>13</v>
      </c>
    </row>
    <row r="74" spans="1:9" x14ac:dyDescent="0.2">
      <c r="A74" s="10">
        <v>10</v>
      </c>
      <c r="B74">
        <v>6</v>
      </c>
      <c r="C74">
        <v>159.51</v>
      </c>
      <c r="D74" s="30">
        <v>0.7077</v>
      </c>
      <c r="E74">
        <v>2.4199485778808499E-4</v>
      </c>
      <c r="F74" s="30">
        <v>0.6885</v>
      </c>
      <c r="G74" s="30">
        <v>0.47989999999999999</v>
      </c>
      <c r="I74">
        <v>12</v>
      </c>
    </row>
    <row r="76" spans="1:9" x14ac:dyDescent="0.2">
      <c r="A76" s="12" t="s">
        <v>18</v>
      </c>
      <c r="B76" s="12">
        <f>AVERAGE(B65:B74)</f>
        <v>6.5</v>
      </c>
      <c r="C76" s="3">
        <f>AVERAGE(C65:C74)</f>
        <v>173.529</v>
      </c>
      <c r="D76" s="33">
        <f t="shared" ref="D76:I76" si="6">AVERAGE(D65:D74)</f>
        <v>0.70008000000000004</v>
      </c>
      <c r="E76" s="12">
        <f t="shared" si="6"/>
        <v>2.5255680084228466E-4</v>
      </c>
      <c r="F76" s="33">
        <f t="shared" si="6"/>
        <v>0.66817999999999989</v>
      </c>
      <c r="G76" s="33">
        <f t="shared" si="6"/>
        <v>0.53744999999999998</v>
      </c>
      <c r="H76" s="12" t="e">
        <f t="shared" si="6"/>
        <v>#DIV/0!</v>
      </c>
      <c r="I76" s="12">
        <f t="shared" si="6"/>
        <v>12.3</v>
      </c>
    </row>
    <row r="77" spans="1:9" x14ac:dyDescent="0.2">
      <c r="B77" s="13">
        <f>AVERAGE(B65:B68,B70:B74)</f>
        <v>5.5555555555555554</v>
      </c>
      <c r="C77" s="13">
        <f t="shared" ref="C77:I77" si="7">AVERAGE(C65:C68,C70:C74)</f>
        <v>158.07111111111112</v>
      </c>
      <c r="D77" s="13">
        <f t="shared" si="7"/>
        <v>0.73295555555555558</v>
      </c>
      <c r="E77" s="13">
        <f t="shared" si="7"/>
        <v>2.3317337036132756E-4</v>
      </c>
      <c r="F77" s="13">
        <f t="shared" si="7"/>
        <v>0.65951111111111105</v>
      </c>
      <c r="G77" s="13">
        <f t="shared" si="7"/>
        <v>0.52682857142857142</v>
      </c>
      <c r="H77" s="13" t="e">
        <f t="shared" si="7"/>
        <v>#DIV/0!</v>
      </c>
      <c r="I77" s="13">
        <f t="shared" si="7"/>
        <v>12.333333333333334</v>
      </c>
    </row>
  </sheetData>
  <conditionalFormatting sqref="C14:C23">
    <cfRule type="cellIs" dxfId="7" priority="7" operator="lessThan">
      <formula>78.97</formula>
    </cfRule>
    <cfRule type="cellIs" dxfId="6" priority="8" operator="equal">
      <formula>78.97</formula>
    </cfRule>
  </conditionalFormatting>
  <conditionalFormatting sqref="C31:C40">
    <cfRule type="cellIs" dxfId="5" priority="1" operator="equal">
      <formula>78.97</formula>
    </cfRule>
    <cfRule type="cellIs" dxfId="4" priority="6" operator="lessThan">
      <formula>78.97</formula>
    </cfRule>
  </conditionalFormatting>
  <conditionalFormatting sqref="C48:C57">
    <cfRule type="cellIs" dxfId="3" priority="2" operator="equal">
      <formula>78.97</formula>
    </cfRule>
    <cfRule type="cellIs" dxfId="2" priority="5" operator="lessThan">
      <formula>78.97</formula>
    </cfRule>
  </conditionalFormatting>
  <conditionalFormatting sqref="C65:C74">
    <cfRule type="cellIs" dxfId="1" priority="3" operator="equal">
      <formula>78.97</formula>
    </cfRule>
    <cfRule type="cellIs" dxfId="0" priority="4" operator="lessThan">
      <formula>78.97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Word_tables</vt:lpstr>
      <vt:lpstr>Summary</vt:lpstr>
      <vt:lpstr>no_type</vt:lpstr>
      <vt:lpstr>no_same_type</vt:lpstr>
      <vt:lpstr>3_scenario_a5</vt:lpstr>
      <vt:lpstr>10_scenario_a5</vt:lpstr>
      <vt:lpstr>3_scenarios</vt:lpstr>
      <vt:lpstr>10_scenarios</vt:lpstr>
      <vt:lpstr>sp1_25_a5</vt:lpstr>
      <vt:lpstr>sp1_25_a10</vt:lpstr>
      <vt:lpstr>sp1_25_a20</vt:lpstr>
      <vt:lpstr>sp1_25_a40</vt:lpstr>
      <vt:lpstr>sp2_25_a5</vt:lpstr>
      <vt:lpstr>sp2_25_a10</vt:lpstr>
      <vt:lpstr>sp2_25_a20</vt:lpstr>
      <vt:lpstr>sp2_25_a40</vt:lpstr>
      <vt:lpstr>sp3_25_a5</vt:lpstr>
      <vt:lpstr>sp3_25_a10</vt:lpstr>
      <vt:lpstr>sp3_25_a20</vt:lpstr>
      <vt:lpstr>sp3_25_a40</vt:lpstr>
      <vt:lpstr>Hss-sp1_25</vt:lpstr>
      <vt:lpstr>Hss-sp2_25</vt:lpstr>
      <vt:lpstr>Hss-sp3_25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MARINO LUDOVICA</dc:creator>
  <cp:lastModifiedBy>MARINO LUDOVICA</cp:lastModifiedBy>
  <dcterms:created xsi:type="dcterms:W3CDTF">2025-10-08T20:45:49Z</dcterms:created>
  <dcterms:modified xsi:type="dcterms:W3CDTF">2025-10-27T14:34:12Z</dcterms:modified>
</cp:coreProperties>
</file>